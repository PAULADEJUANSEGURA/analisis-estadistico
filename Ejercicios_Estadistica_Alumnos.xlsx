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M\Documents\curso_big_data_paula\analisis-estadistico\"/>
    </mc:Choice>
  </mc:AlternateContent>
  <xr:revisionPtr revIDLastSave="0" documentId="13_ncr:1_{A2186679-7C89-4DFA-8D7D-A1BA190A07EE}" xr6:coauthVersionLast="47" xr6:coauthVersionMax="47" xr10:uidLastSave="{00000000-0000-0000-0000-000000000000}"/>
  <bookViews>
    <workbookView xWindow="696" yWindow="696" windowWidth="29952" windowHeight="15708" activeTab="4" xr2:uid="{00000000-000D-0000-FFFF-FFFF00000000}"/>
  </bookViews>
  <sheets>
    <sheet name="Datos_Base" sheetId="1" r:id="rId1"/>
    <sheet name="1_Precios" sheetId="2" r:id="rId2"/>
    <sheet name="2_Beneficios" sheetId="3" r:id="rId3"/>
    <sheet name="3_Satisfaccion" sheetId="4" r:id="rId4"/>
    <sheet name="4_Probabilidad" sheetId="5" r:id="rId5"/>
  </sheets>
  <definedNames>
    <definedName name="_xlchart.v1.0" hidden="1">'1_Precios'!$A$5:$A$46</definedName>
    <definedName name="_xlchart.v1.1" hidden="1">'1_Precios'!$B$4</definedName>
    <definedName name="_xlchart.v1.2" hidden="1">'1_Precios'!$B$5:$B$46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5" l="1"/>
  <c r="E9" i="5" s="1"/>
  <c r="F8" i="5" s="1"/>
  <c r="G8" i="5" s="1"/>
  <c r="E7" i="5"/>
  <c r="E8" i="5"/>
  <c r="E3" i="5"/>
  <c r="E13" i="4"/>
  <c r="E14" i="4"/>
  <c r="E15" i="4"/>
  <c r="E16" i="4"/>
  <c r="E12" i="4"/>
  <c r="E7" i="4"/>
  <c r="E6" i="4"/>
  <c r="E5" i="4"/>
  <c r="F5" i="3"/>
  <c r="F8" i="3"/>
  <c r="F7" i="3"/>
  <c r="F6" i="3"/>
  <c r="E8" i="2"/>
  <c r="E7" i="2"/>
  <c r="E6" i="2"/>
  <c r="E5" i="2"/>
  <c r="F7" i="5" l="1"/>
  <c r="G7" i="5" s="1"/>
  <c r="F6" i="5"/>
  <c r="G6" i="5" s="1"/>
  <c r="F9" i="5" l="1"/>
  <c r="G9" i="5" s="1"/>
</calcChain>
</file>

<file path=xl/sharedStrings.xml><?xml version="1.0" encoding="utf-8"?>
<sst xmlns="http://schemas.openxmlformats.org/spreadsheetml/2006/main" count="568" uniqueCount="150">
  <si>
    <t>ID_Venta</t>
  </si>
  <si>
    <t>Fecha</t>
  </si>
  <si>
    <t>Producto</t>
  </si>
  <si>
    <t>Categoría</t>
  </si>
  <si>
    <t>Unidades</t>
  </si>
  <si>
    <t>Precio_Unitario</t>
  </si>
  <si>
    <t>Ciudad</t>
  </si>
  <si>
    <t>Canal</t>
  </si>
  <si>
    <t>Valoración</t>
  </si>
  <si>
    <t>Ingresos</t>
  </si>
  <si>
    <t>Coste</t>
  </si>
  <si>
    <t>Beneficio</t>
  </si>
  <si>
    <t>Vendedor</t>
  </si>
  <si>
    <t>Devolución</t>
  </si>
  <si>
    <t>2024-03-01</t>
  </si>
  <si>
    <t>2024-03-02</t>
  </si>
  <si>
    <t>2024-03-03</t>
  </si>
  <si>
    <t>2024-03-05</t>
  </si>
  <si>
    <t>2024-03-07</t>
  </si>
  <si>
    <t>2024-03-10</t>
  </si>
  <si>
    <t>2024-03-12</t>
  </si>
  <si>
    <t>2024-03-15</t>
  </si>
  <si>
    <t>2024-03-18</t>
  </si>
  <si>
    <t>2024-03-20</t>
  </si>
  <si>
    <t>2024-03-22</t>
  </si>
  <si>
    <t>2024-03-25</t>
  </si>
  <si>
    <t>2024-03-27</t>
  </si>
  <si>
    <t>2024-03-29</t>
  </si>
  <si>
    <t>2024-03-30</t>
  </si>
  <si>
    <t>2024-04-02</t>
  </si>
  <si>
    <t>2024-04-05</t>
  </si>
  <si>
    <t>2024-04-08</t>
  </si>
  <si>
    <t>2024-04-10</t>
  </si>
  <si>
    <t>2024-04-12</t>
  </si>
  <si>
    <t>2024-04-15</t>
  </si>
  <si>
    <t>2024-04-17</t>
  </si>
  <si>
    <t>2024-04-20</t>
  </si>
  <si>
    <t>2024-04-22</t>
  </si>
  <si>
    <t>2024-04-25</t>
  </si>
  <si>
    <t>2024-04-28</t>
  </si>
  <si>
    <t>2024-05-02</t>
  </si>
  <si>
    <t>2024-05-05</t>
  </si>
  <si>
    <t>2024-05-08</t>
  </si>
  <si>
    <t>2024-05-10</t>
  </si>
  <si>
    <t>2024-05-12</t>
  </si>
  <si>
    <t>2024-05-15</t>
  </si>
  <si>
    <t>2024-05-18</t>
  </si>
  <si>
    <t>2024-05-20</t>
  </si>
  <si>
    <t>2024-05-22</t>
  </si>
  <si>
    <t>2024-05-25</t>
  </si>
  <si>
    <t>2024-05-28</t>
  </si>
  <si>
    <t>2024-05-30</t>
  </si>
  <si>
    <t>2024-06-02</t>
  </si>
  <si>
    <t>2024-06-05</t>
  </si>
  <si>
    <t>2024-06-06</t>
  </si>
  <si>
    <t>2024-06-07</t>
  </si>
  <si>
    <t>Gafas de sol sport</t>
  </si>
  <si>
    <t>Esterilla de Yoga</t>
  </si>
  <si>
    <t>Raqueta de Pádel</t>
  </si>
  <si>
    <t>Zapatillas de Running</t>
  </si>
  <si>
    <t>Mancuernas 5kg (Par)</t>
  </si>
  <si>
    <t>Reloj GPS Garmin</t>
  </si>
  <si>
    <t>Casco de Ciclismo</t>
  </si>
  <si>
    <t>Botella Térmica 1L</t>
  </si>
  <si>
    <t>Saco de Boxeo</t>
  </si>
  <si>
    <t>Mochila de Senderismo</t>
  </si>
  <si>
    <t>Mallas Térmicas</t>
  </si>
  <si>
    <t>Auriculares Inalámbricos</t>
  </si>
  <si>
    <t>Balón de Fútbol</t>
  </si>
  <si>
    <t>Cortavientos Ligero</t>
  </si>
  <si>
    <t>Cuerda de Saltar</t>
  </si>
  <si>
    <t>Banda Elástica Resistencia</t>
  </si>
  <si>
    <t>Gafas de Natación</t>
  </si>
  <si>
    <t>Zapatillas de Trekking</t>
  </si>
  <si>
    <t>Maillot de Ciclismo</t>
  </si>
  <si>
    <t>Pulsómetro de Pecho</t>
  </si>
  <si>
    <t>Calcetines Running (Pack 3)</t>
  </si>
  <si>
    <t>Bolsa de Deporte</t>
  </si>
  <si>
    <t>Gorra Transpirable</t>
  </si>
  <si>
    <t>Guantes de Gimnasio</t>
  </si>
  <si>
    <t>Raqueta de Tenis</t>
  </si>
  <si>
    <t>Bote Pelotas Pádel (Pack 3)</t>
  </si>
  <si>
    <t>Toalla de Microfibra</t>
  </si>
  <si>
    <t>Pantalón de Chándal</t>
  </si>
  <si>
    <t>Sujetador Deportivo</t>
  </si>
  <si>
    <t>Cinturón de Hidratación</t>
  </si>
  <si>
    <t>Muñequeras de Pádel</t>
  </si>
  <si>
    <t>Pesa Rusa 8kg</t>
  </si>
  <si>
    <t>Rodillo de Masaje (Foam)</t>
  </si>
  <si>
    <t>Neopreno Surf</t>
  </si>
  <si>
    <t>Tabla de Paddle Surf</t>
  </si>
  <si>
    <t>Casco de Esquí</t>
  </si>
  <si>
    <t>Gafas de Ventisca</t>
  </si>
  <si>
    <t>Mallas de Compresión</t>
  </si>
  <si>
    <t>Camiseta Térmica</t>
  </si>
  <si>
    <t>Zapatillas Halterofilia</t>
  </si>
  <si>
    <t>Accesorios</t>
  </si>
  <si>
    <t>Fitness</t>
  </si>
  <si>
    <t>Deportes</t>
  </si>
  <si>
    <t>Calzado</t>
  </si>
  <si>
    <t>Electrónica</t>
  </si>
  <si>
    <t>Ropa</t>
  </si>
  <si>
    <t>Material</t>
  </si>
  <si>
    <t>Cositas</t>
  </si>
  <si>
    <t>Madrid</t>
  </si>
  <si>
    <t>Barcelona</t>
  </si>
  <si>
    <t>Valencia</t>
  </si>
  <si>
    <t>Sevilla</t>
  </si>
  <si>
    <t>Bilbao</t>
  </si>
  <si>
    <t>Málaga</t>
  </si>
  <si>
    <t>App</t>
  </si>
  <si>
    <t>Web</t>
  </si>
  <si>
    <t>Tienda</t>
  </si>
  <si>
    <t>Ana García</t>
  </si>
  <si>
    <t>David Ruiz</t>
  </si>
  <si>
    <t>Carlos López</t>
  </si>
  <si>
    <t>Laura Martínez</t>
  </si>
  <si>
    <t>Marta Fernández</t>
  </si>
  <si>
    <t>No</t>
  </si>
  <si>
    <t>Sí</t>
  </si>
  <si>
    <t>Dashboard 1: Análisis de Precios (Media vs Mediana)</t>
  </si>
  <si>
    <t>📊 MÉTRICAS A CALCULAR</t>
  </si>
  <si>
    <t>RESULTADO</t>
  </si>
  <si>
    <t>Media</t>
  </si>
  <si>
    <t>Mediana</t>
  </si>
  <si>
    <t>Moda</t>
  </si>
  <si>
    <t>Desviación Típica</t>
  </si>
  <si>
    <t>👉 TAREA: Inserta debajo un Histograma de los precios</t>
  </si>
  <si>
    <t>Dashboard 2: Estabilidad de Beneficios y Riesgo</t>
  </si>
  <si>
    <t>Media del Beneficio</t>
  </si>
  <si>
    <t>Beneficio Mínimo</t>
  </si>
  <si>
    <t>Beneficio Máximo</t>
  </si>
  <si>
    <t>👉 TAREA: Inserta debajo un Gráfico de Dispersión (Coste vs Beneficio)</t>
  </si>
  <si>
    <t>Dashboard 3: Satisfacción del Cliente (Variable Discreta)</t>
  </si>
  <si>
    <t>📝 TABLA DE FRECUENCIAS</t>
  </si>
  <si>
    <t>Valoración (Estrellas)</t>
  </si>
  <si>
    <t>Nº de Clientes</t>
  </si>
  <si>
    <t>👉 TAREA: Crea un Gráfico de Columnas usando la Tabla de Frecuencias</t>
  </si>
  <si>
    <t>👉 TAREA: Inserta un Gráfico Circular (Quesitos) usando la Frecuencia Absoluta</t>
  </si>
  <si>
    <t>📝 PREGUNTA: Si elegimos una venta al azar, ¿qué probabilidad hay de que sea por la Web?</t>
  </si>
  <si>
    <t>👉 Probabilidad: Es la Frecuencia Relativa expresada en Porcentaje.</t>
  </si>
  <si>
    <t>👉 Frecuencia Relativa: Divide la Frecuencia Absoluta entre el Total de Ventas.</t>
  </si>
  <si>
    <t>👉 Frecuencia Absoluta: Usa =CONTAR.SI() para contar las ventas de cada canal.</t>
  </si>
  <si>
    <t>TOTAL</t>
  </si>
  <si>
    <t>Probabilidad (%)</t>
  </si>
  <si>
    <t>Frecuencia Relativa</t>
  </si>
  <si>
    <t>Frecuencia Absoluta</t>
  </si>
  <si>
    <t>Canal de Venta</t>
  </si>
  <si>
    <t>TOTAL VENTAS (N):</t>
  </si>
  <si>
    <t>Dashboard 4: Probabilidad y Frecuencias (Canales)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</si>
</sst>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36609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1" fillId="3" borderId="1" xfId="0" applyFont="1" applyFill="1" applyBorder="1"/>
    <xf numFmtId="0" fontId="0" fillId="4" borderId="1" xfId="0" applyFill="1" applyBorder="1"/>
    <xf numFmtId="0" fontId="4" fillId="0" borderId="0" xfId="0" applyFont="1"/>
    <xf numFmtId="0" fontId="5" fillId="5" borderId="1" xfId="0" applyFont="1" applyFill="1" applyBorder="1" applyAlignment="1">
      <alignment horizontal="center" vertical="top"/>
    </xf>
    <xf numFmtId="10" fontId="0" fillId="4" borderId="1" xfId="0" applyNumberFormat="1" applyFill="1" applyBorder="1"/>
    <xf numFmtId="2" fontId="0" fillId="4" borderId="1" xfId="0" applyNumberFormat="1" applyFill="1" applyBorder="1"/>
    <xf numFmtId="0" fontId="3" fillId="2" borderId="1" xfId="0" applyFont="1" applyFill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Dispersión: Coste vs. Beneficio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'2_Beneficios'!$B$5:$B$46</c:f>
              <c:numCache>
                <c:formatCode>General</c:formatCode>
                <c:ptCount val="42"/>
                <c:pt idx="0">
                  <c:v>10</c:v>
                </c:pt>
                <c:pt idx="1">
                  <c:v>14</c:v>
                </c:pt>
                <c:pt idx="2">
                  <c:v>45</c:v>
                </c:pt>
                <c:pt idx="3">
                  <c:v>60</c:v>
                </c:pt>
                <c:pt idx="4">
                  <c:v>15</c:v>
                </c:pt>
                <c:pt idx="5">
                  <c:v>180</c:v>
                </c:pt>
                <c:pt idx="6">
                  <c:v>20</c:v>
                </c:pt>
                <c:pt idx="7">
                  <c:v>18</c:v>
                </c:pt>
                <c:pt idx="8">
                  <c:v>50</c:v>
                </c:pt>
                <c:pt idx="9">
                  <c:v>70</c:v>
                </c:pt>
                <c:pt idx="10">
                  <c:v>12</c:v>
                </c:pt>
                <c:pt idx="11">
                  <c:v>25</c:v>
                </c:pt>
                <c:pt idx="12">
                  <c:v>32</c:v>
                </c:pt>
                <c:pt idx="13">
                  <c:v>18</c:v>
                </c:pt>
                <c:pt idx="14">
                  <c:v>15</c:v>
                </c:pt>
                <c:pt idx="15">
                  <c:v>15</c:v>
                </c:pt>
                <c:pt idx="16">
                  <c:v>16</c:v>
                </c:pt>
                <c:pt idx="17">
                  <c:v>55</c:v>
                </c:pt>
                <c:pt idx="18">
                  <c:v>20</c:v>
                </c:pt>
                <c:pt idx="19">
                  <c:v>35</c:v>
                </c:pt>
                <c:pt idx="20">
                  <c:v>16</c:v>
                </c:pt>
                <c:pt idx="21">
                  <c:v>15</c:v>
                </c:pt>
                <c:pt idx="22">
                  <c:v>12</c:v>
                </c:pt>
                <c:pt idx="23">
                  <c:v>8</c:v>
                </c:pt>
                <c:pt idx="24">
                  <c:v>70</c:v>
                </c:pt>
                <c:pt idx="25">
                  <c:v>15</c:v>
                </c:pt>
                <c:pt idx="26">
                  <c:v>15</c:v>
                </c:pt>
                <c:pt idx="27">
                  <c:v>14</c:v>
                </c:pt>
                <c:pt idx="28">
                  <c:v>22</c:v>
                </c:pt>
                <c:pt idx="29">
                  <c:v>10</c:v>
                </c:pt>
                <c:pt idx="30">
                  <c:v>6</c:v>
                </c:pt>
                <c:pt idx="31">
                  <c:v>12</c:v>
                </c:pt>
                <c:pt idx="32">
                  <c:v>9</c:v>
                </c:pt>
                <c:pt idx="33">
                  <c:v>90</c:v>
                </c:pt>
                <c:pt idx="34">
                  <c:v>180</c:v>
                </c:pt>
                <c:pt idx="35">
                  <c:v>45</c:v>
                </c:pt>
                <c:pt idx="36">
                  <c:v>25</c:v>
                </c:pt>
                <c:pt idx="37">
                  <c:v>18</c:v>
                </c:pt>
                <c:pt idx="38">
                  <c:v>30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</c:numCache>
            </c:numRef>
          </c:xVal>
          <c:yVal>
            <c:numRef>
              <c:f>'2_Beneficios'!$C$5:$C$46</c:f>
              <c:numCache>
                <c:formatCode>General</c:formatCode>
                <c:ptCount val="42"/>
                <c:pt idx="0">
                  <c:v>15.5</c:v>
                </c:pt>
                <c:pt idx="1">
                  <c:v>22</c:v>
                </c:pt>
                <c:pt idx="2">
                  <c:v>40</c:v>
                </c:pt>
                <c:pt idx="3">
                  <c:v>50</c:v>
                </c:pt>
                <c:pt idx="4">
                  <c:v>20</c:v>
                </c:pt>
                <c:pt idx="5">
                  <c:v>70</c:v>
                </c:pt>
                <c:pt idx="6">
                  <c:v>25</c:v>
                </c:pt>
                <c:pt idx="7">
                  <c:v>27</c:v>
                </c:pt>
                <c:pt idx="8">
                  <c:v>40</c:v>
                </c:pt>
                <c:pt idx="9">
                  <c:v>60</c:v>
                </c:pt>
                <c:pt idx="10">
                  <c:v>30</c:v>
                </c:pt>
                <c:pt idx="11">
                  <c:v>30</c:v>
                </c:pt>
                <c:pt idx="12">
                  <c:v>48</c:v>
                </c:pt>
                <c:pt idx="13">
                  <c:v>24</c:v>
                </c:pt>
                <c:pt idx="14">
                  <c:v>25</c:v>
                </c:pt>
                <c:pt idx="15">
                  <c:v>21</c:v>
                </c:pt>
                <c:pt idx="16">
                  <c:v>20</c:v>
                </c:pt>
                <c:pt idx="17">
                  <c:v>40</c:v>
                </c:pt>
                <c:pt idx="18">
                  <c:v>25</c:v>
                </c:pt>
                <c:pt idx="19">
                  <c:v>25</c:v>
                </c:pt>
                <c:pt idx="20">
                  <c:v>24</c:v>
                </c:pt>
                <c:pt idx="21">
                  <c:v>20</c:v>
                </c:pt>
                <c:pt idx="22">
                  <c:v>18</c:v>
                </c:pt>
                <c:pt idx="23">
                  <c:v>10</c:v>
                </c:pt>
                <c:pt idx="24">
                  <c:v>50</c:v>
                </c:pt>
                <c:pt idx="25">
                  <c:v>15</c:v>
                </c:pt>
                <c:pt idx="26">
                  <c:v>21</c:v>
                </c:pt>
                <c:pt idx="27">
                  <c:v>16</c:v>
                </c:pt>
                <c:pt idx="28">
                  <c:v>28</c:v>
                </c:pt>
                <c:pt idx="29">
                  <c:v>12</c:v>
                </c:pt>
                <c:pt idx="30">
                  <c:v>10</c:v>
                </c:pt>
                <c:pt idx="31">
                  <c:v>16</c:v>
                </c:pt>
                <c:pt idx="32">
                  <c:v>11</c:v>
                </c:pt>
                <c:pt idx="33">
                  <c:v>60</c:v>
                </c:pt>
                <c:pt idx="34">
                  <c:v>120</c:v>
                </c:pt>
                <c:pt idx="35">
                  <c:v>40</c:v>
                </c:pt>
                <c:pt idx="36">
                  <c:v>25</c:v>
                </c:pt>
                <c:pt idx="37">
                  <c:v>22</c:v>
                </c:pt>
                <c:pt idx="38">
                  <c:v>40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B4-41B8-8C82-94E42BAB9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967280"/>
        <c:axId val="653961520"/>
      </c:scatterChart>
      <c:valAx>
        <c:axId val="65396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961520"/>
        <c:crosses val="autoZero"/>
        <c:crossBetween val="midCat"/>
      </c:valAx>
      <c:valAx>
        <c:axId val="65396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53967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📝 Distribución de Satisfacción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'3_Satisfaccion'!$E$10:$E$11</c:f>
              <c:strCache>
                <c:ptCount val="2"/>
                <c:pt idx="0">
                  <c:v>📝 TABLA DE FRECUENCIAS</c:v>
                </c:pt>
                <c:pt idx="1">
                  <c:v>Nº de Clientes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brightRoom" dir="t">
                <a:rot lat="0" lon="0" rev="4800000"/>
              </a:lightRig>
            </a:scene3d>
            <a:sp3d prstMaterial="dkEdge">
              <a:bevelT w="228600"/>
              <a:bevelB w="0" h="0"/>
            </a:sp3d>
          </c:spPr>
          <c:invertIfNegative val="0"/>
          <c:cat>
            <c:numRef>
              <c:f>'3_Satisfaccion'!$D$12:$D$16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'3_Satisfaccion'!$E$12:$E$16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0-4CE3-85D0-BEAB1150D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731776"/>
        <c:axId val="1240732256"/>
      </c:barChart>
      <c:catAx>
        <c:axId val="124073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0732256"/>
        <c:crosses val="autoZero"/>
        <c:auto val="1"/>
        <c:lblAlgn val="ctr"/>
        <c:lblOffset val="100"/>
        <c:noMultiLvlLbl val="0"/>
      </c:catAx>
      <c:valAx>
        <c:axId val="124073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40731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35C8-46EB-9D4B-8E02B8EDF5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2-35C8-46EB-9D4B-8E02B8EDF5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35C8-46EB-9D4B-8E02B8EDF5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'4_Probabilidad'!$D$6:$D$8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'4_Probabilidad'!$E$6:$E$8</c:f>
              <c:numCache>
                <c:formatCode>General</c:formatCode>
                <c:ptCount val="3"/>
                <c:pt idx="0">
                  <c:v>11</c:v>
                </c:pt>
                <c:pt idx="1">
                  <c:v>17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C8-46EB-9D4B-8E02B8EDF5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33333333333333E-2"/>
          <c:y val="0.17171296296296298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('4_Probabilidad'!$D$6,'4_Probabilidad'!$D$7,'4_Probabilidad'!$D$8)</c:f>
              <c:strCache>
                <c:ptCount val="3"/>
                <c:pt idx="0">
                  <c:v>App</c:v>
                </c:pt>
                <c:pt idx="1">
                  <c:v>Web</c:v>
                </c:pt>
                <c:pt idx="2">
                  <c:v>Tienda</c:v>
                </c:pt>
              </c:strCache>
            </c:strRef>
          </c:cat>
          <c:val>
            <c:numRef>
              <c:f>('4_Probabilidad'!$E$6,'4_Probabilidad'!$E$7,'4_Probabilidad'!$E$8)</c:f>
              <c:numCache>
                <c:formatCode>General</c:formatCode>
                <c:ptCount val="3"/>
                <c:pt idx="0">
                  <c:v>11</c:v>
                </c:pt>
                <c:pt idx="1">
                  <c:v>17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6-4CA3-8030-D978BEEE221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Histograma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Histograma</a:t>
          </a:r>
        </a:p>
      </cx:txPr>
    </cx:title>
    <cx:plotArea>
      <cx:plotAreaRegion>
        <cx:series layoutId="clusteredColumn" uniqueId="{CA7B7DDF-73BE-4F4A-9F70-F57FAB979D67}">
          <cx:tx>
            <cx:txData>
              <cx:f>_xlchart.v1.1</cx:f>
              <cx:v>Precio_Unitario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7620</xdr:rowOff>
    </xdr:from>
    <xdr:to>
      <xdr:col>8</xdr:col>
      <xdr:colOff>274320</xdr:colOff>
      <xdr:row>27</xdr:row>
      <xdr:rowOff>7620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710B9F8-17BD-28E1-59C1-C80781E2C4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51960" y="2247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15240</xdr:rowOff>
    </xdr:from>
    <xdr:to>
      <xdr:col>9</xdr:col>
      <xdr:colOff>274320</xdr:colOff>
      <xdr:row>27</xdr:row>
      <xdr:rowOff>15240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2CF7704-0A13-7F2B-9F86-0C980F617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20</xdr:row>
      <xdr:rowOff>0</xdr:rowOff>
    </xdr:from>
    <xdr:to>
      <xdr:col>8</xdr:col>
      <xdr:colOff>281940</xdr:colOff>
      <xdr:row>35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EAB4D59-F7DA-7177-5172-3DDC958CC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1043940</xdr:colOff>
      <xdr:row>18</xdr:row>
      <xdr:rowOff>175260</xdr:rowOff>
    </xdr:from>
    <xdr:to>
      <xdr:col>6</xdr:col>
      <xdr:colOff>632460</xdr:colOff>
      <xdr:row>33</xdr:row>
      <xdr:rowOff>175260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C6B2A09-C00C-DC35-DE64-01E24F778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899160</xdr:colOff>
      <xdr:row>18</xdr:row>
      <xdr:rowOff>129540</xdr:rowOff>
    </xdr:from>
    <xdr:to>
      <xdr:col>13</xdr:col>
      <xdr:colOff>441960</xdr:colOff>
      <xdr:row>33</xdr:row>
      <xdr:rowOff>129540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240B74E-6497-16EC-CA88-F0E246D35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workbookViewId="0">
      <pane ySplit="1" topLeftCell="A2" activePane="bottomLeft" state="frozen"/>
      <selection pane="bottomLeft" activeCell="P15" sqref="P15"/>
    </sheetView>
  </sheetViews>
  <sheetFormatPr baseColWidth="10" defaultColWidth="8.77734375" defaultRowHeight="14.4" x14ac:dyDescent="0.3"/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 x14ac:dyDescent="0.3">
      <c r="A2">
        <v>1001</v>
      </c>
      <c r="B2" t="s">
        <v>14</v>
      </c>
      <c r="C2" t="s">
        <v>56</v>
      </c>
      <c r="D2" t="s">
        <v>96</v>
      </c>
      <c r="E2">
        <v>1</v>
      </c>
      <c r="F2">
        <v>25.5</v>
      </c>
      <c r="G2" t="s">
        <v>104</v>
      </c>
      <c r="H2" t="s">
        <v>110</v>
      </c>
      <c r="I2">
        <v>4</v>
      </c>
      <c r="J2">
        <v>25.5</v>
      </c>
      <c r="K2">
        <v>10</v>
      </c>
      <c r="L2">
        <v>15.5</v>
      </c>
      <c r="M2" t="s">
        <v>113</v>
      </c>
      <c r="N2" t="s">
        <v>118</v>
      </c>
    </row>
    <row r="3" spans="1:14" x14ac:dyDescent="0.3">
      <c r="A3">
        <v>1002</v>
      </c>
      <c r="B3" t="s">
        <v>15</v>
      </c>
      <c r="C3" t="s">
        <v>57</v>
      </c>
      <c r="D3" t="s">
        <v>97</v>
      </c>
      <c r="E3">
        <v>2</v>
      </c>
      <c r="F3">
        <v>18</v>
      </c>
      <c r="G3" t="s">
        <v>105</v>
      </c>
      <c r="H3" t="s">
        <v>111</v>
      </c>
      <c r="I3">
        <v>5</v>
      </c>
      <c r="J3">
        <v>36</v>
      </c>
      <c r="K3">
        <v>14</v>
      </c>
      <c r="L3">
        <v>22</v>
      </c>
      <c r="M3" t="s">
        <v>114</v>
      </c>
      <c r="N3" t="s">
        <v>118</v>
      </c>
    </row>
    <row r="4" spans="1:14" x14ac:dyDescent="0.3">
      <c r="A4">
        <v>1003</v>
      </c>
      <c r="B4" t="s">
        <v>16</v>
      </c>
      <c r="C4" t="s">
        <v>58</v>
      </c>
      <c r="D4" t="s">
        <v>98</v>
      </c>
      <c r="E4">
        <v>1</v>
      </c>
      <c r="F4">
        <v>85</v>
      </c>
      <c r="G4" t="s">
        <v>106</v>
      </c>
      <c r="H4" t="s">
        <v>112</v>
      </c>
      <c r="I4">
        <v>4</v>
      </c>
      <c r="J4">
        <v>85</v>
      </c>
      <c r="K4">
        <v>45</v>
      </c>
      <c r="L4">
        <v>40</v>
      </c>
      <c r="M4" t="s">
        <v>115</v>
      </c>
      <c r="N4" t="s">
        <v>118</v>
      </c>
    </row>
    <row r="5" spans="1:14" x14ac:dyDescent="0.3">
      <c r="A5">
        <v>1004</v>
      </c>
      <c r="B5" t="s">
        <v>17</v>
      </c>
      <c r="C5" t="s">
        <v>59</v>
      </c>
      <c r="D5" t="s">
        <v>99</v>
      </c>
      <c r="E5">
        <v>1</v>
      </c>
      <c r="F5">
        <v>110</v>
      </c>
      <c r="G5" t="s">
        <v>107</v>
      </c>
      <c r="H5" t="s">
        <v>111</v>
      </c>
      <c r="I5">
        <v>5</v>
      </c>
      <c r="J5">
        <v>110</v>
      </c>
      <c r="K5">
        <v>60</v>
      </c>
      <c r="L5">
        <v>50</v>
      </c>
      <c r="M5" t="s">
        <v>116</v>
      </c>
      <c r="N5" t="s">
        <v>119</v>
      </c>
    </row>
    <row r="6" spans="1:14" x14ac:dyDescent="0.3">
      <c r="A6">
        <v>1005</v>
      </c>
      <c r="B6" t="s">
        <v>18</v>
      </c>
      <c r="C6" t="s">
        <v>60</v>
      </c>
      <c r="D6" t="s">
        <v>97</v>
      </c>
      <c r="E6">
        <v>1</v>
      </c>
      <c r="F6">
        <v>35</v>
      </c>
      <c r="G6" t="s">
        <v>108</v>
      </c>
      <c r="H6" t="s">
        <v>112</v>
      </c>
      <c r="I6">
        <v>4</v>
      </c>
      <c r="J6">
        <v>35</v>
      </c>
      <c r="K6">
        <v>15</v>
      </c>
      <c r="L6">
        <v>20</v>
      </c>
      <c r="M6" t="s">
        <v>117</v>
      </c>
      <c r="N6" t="s">
        <v>118</v>
      </c>
    </row>
    <row r="7" spans="1:14" x14ac:dyDescent="0.3">
      <c r="A7">
        <v>1006</v>
      </c>
      <c r="B7" t="s">
        <v>19</v>
      </c>
      <c r="C7" t="s">
        <v>61</v>
      </c>
      <c r="D7" t="s">
        <v>100</v>
      </c>
      <c r="E7">
        <v>1</v>
      </c>
      <c r="F7">
        <v>250</v>
      </c>
      <c r="G7" t="s">
        <v>104</v>
      </c>
      <c r="H7" t="s">
        <v>111</v>
      </c>
      <c r="I7">
        <v>5</v>
      </c>
      <c r="J7">
        <v>250</v>
      </c>
      <c r="K7">
        <v>180</v>
      </c>
      <c r="L7">
        <v>70</v>
      </c>
      <c r="M7" t="s">
        <v>113</v>
      </c>
      <c r="N7" t="s">
        <v>118</v>
      </c>
    </row>
    <row r="8" spans="1:14" x14ac:dyDescent="0.3">
      <c r="A8">
        <v>1007</v>
      </c>
      <c r="B8" t="s">
        <v>20</v>
      </c>
      <c r="C8" t="s">
        <v>62</v>
      </c>
      <c r="D8" t="s">
        <v>96</v>
      </c>
      <c r="E8">
        <v>1</v>
      </c>
      <c r="F8">
        <v>45</v>
      </c>
      <c r="G8" t="s">
        <v>105</v>
      </c>
      <c r="H8" t="s">
        <v>110</v>
      </c>
      <c r="I8">
        <v>3</v>
      </c>
      <c r="J8">
        <v>45</v>
      </c>
      <c r="K8">
        <v>20</v>
      </c>
      <c r="L8">
        <v>25</v>
      </c>
      <c r="M8" t="s">
        <v>114</v>
      </c>
      <c r="N8" t="s">
        <v>118</v>
      </c>
    </row>
    <row r="9" spans="1:14" x14ac:dyDescent="0.3">
      <c r="A9">
        <v>1008</v>
      </c>
      <c r="B9" t="s">
        <v>21</v>
      </c>
      <c r="C9" t="s">
        <v>63</v>
      </c>
      <c r="D9" t="s">
        <v>96</v>
      </c>
      <c r="E9">
        <v>3</v>
      </c>
      <c r="F9">
        <v>15</v>
      </c>
      <c r="G9" t="s">
        <v>106</v>
      </c>
      <c r="H9" t="s">
        <v>112</v>
      </c>
      <c r="I9">
        <v>4</v>
      </c>
      <c r="J9">
        <v>45</v>
      </c>
      <c r="K9">
        <v>18</v>
      </c>
      <c r="L9">
        <v>27</v>
      </c>
      <c r="M9" t="s">
        <v>115</v>
      </c>
      <c r="N9" t="s">
        <v>118</v>
      </c>
    </row>
    <row r="10" spans="1:14" x14ac:dyDescent="0.3">
      <c r="A10">
        <v>1009</v>
      </c>
      <c r="B10" t="s">
        <v>22</v>
      </c>
      <c r="C10" t="s">
        <v>64</v>
      </c>
      <c r="D10" t="s">
        <v>97</v>
      </c>
      <c r="E10">
        <v>1</v>
      </c>
      <c r="F10">
        <v>90</v>
      </c>
      <c r="G10" t="s">
        <v>109</v>
      </c>
      <c r="H10" t="s">
        <v>111</v>
      </c>
      <c r="I10">
        <v>5</v>
      </c>
      <c r="J10">
        <v>90</v>
      </c>
      <c r="K10">
        <v>50</v>
      </c>
      <c r="L10">
        <v>40</v>
      </c>
      <c r="M10" t="s">
        <v>116</v>
      </c>
      <c r="N10" t="s">
        <v>118</v>
      </c>
    </row>
    <row r="11" spans="1:14" x14ac:dyDescent="0.3">
      <c r="A11">
        <v>1010</v>
      </c>
      <c r="B11" t="s">
        <v>23</v>
      </c>
      <c r="C11" t="s">
        <v>65</v>
      </c>
      <c r="D11" t="s">
        <v>96</v>
      </c>
      <c r="E11">
        <v>2</v>
      </c>
      <c r="F11">
        <v>65</v>
      </c>
      <c r="G11" t="s">
        <v>108</v>
      </c>
      <c r="H11" t="s">
        <v>112</v>
      </c>
      <c r="I11">
        <v>4</v>
      </c>
      <c r="J11">
        <v>130</v>
      </c>
      <c r="K11">
        <v>70</v>
      </c>
      <c r="L11">
        <v>60</v>
      </c>
      <c r="M11" t="s">
        <v>117</v>
      </c>
      <c r="N11" t="s">
        <v>118</v>
      </c>
    </row>
    <row r="12" spans="1:14" x14ac:dyDescent="0.3">
      <c r="A12">
        <v>1011</v>
      </c>
      <c r="B12" t="s">
        <v>24</v>
      </c>
      <c r="C12" t="s">
        <v>66</v>
      </c>
      <c r="D12" t="s">
        <v>101</v>
      </c>
      <c r="E12">
        <v>1</v>
      </c>
      <c r="F12">
        <v>28</v>
      </c>
      <c r="G12" t="s">
        <v>104</v>
      </c>
      <c r="H12" t="s">
        <v>110</v>
      </c>
      <c r="I12">
        <v>5</v>
      </c>
      <c r="J12">
        <v>28</v>
      </c>
      <c r="K12">
        <v>12</v>
      </c>
      <c r="L12">
        <v>30</v>
      </c>
      <c r="M12" t="s">
        <v>113</v>
      </c>
      <c r="N12" t="s">
        <v>118</v>
      </c>
    </row>
    <row r="13" spans="1:14" x14ac:dyDescent="0.3">
      <c r="A13">
        <v>1012</v>
      </c>
      <c r="B13" t="s">
        <v>25</v>
      </c>
      <c r="C13" t="s">
        <v>67</v>
      </c>
      <c r="D13" t="s">
        <v>100</v>
      </c>
      <c r="E13">
        <v>1</v>
      </c>
      <c r="F13">
        <v>55</v>
      </c>
      <c r="G13" t="s">
        <v>105</v>
      </c>
      <c r="H13" t="s">
        <v>111</v>
      </c>
      <c r="I13">
        <v>2</v>
      </c>
      <c r="J13">
        <v>55</v>
      </c>
      <c r="K13">
        <v>25</v>
      </c>
      <c r="L13">
        <v>30</v>
      </c>
      <c r="M13" t="s">
        <v>114</v>
      </c>
      <c r="N13" t="s">
        <v>119</v>
      </c>
    </row>
    <row r="14" spans="1:14" x14ac:dyDescent="0.3">
      <c r="A14">
        <v>1013</v>
      </c>
      <c r="B14" t="s">
        <v>26</v>
      </c>
      <c r="C14" t="s">
        <v>68</v>
      </c>
      <c r="D14" t="s">
        <v>98</v>
      </c>
      <c r="E14">
        <v>4</v>
      </c>
      <c r="F14">
        <v>20</v>
      </c>
      <c r="G14" t="s">
        <v>107</v>
      </c>
      <c r="H14" t="s">
        <v>112</v>
      </c>
      <c r="I14">
        <v>4</v>
      </c>
      <c r="J14">
        <v>80</v>
      </c>
      <c r="K14">
        <v>32</v>
      </c>
      <c r="L14">
        <v>48</v>
      </c>
      <c r="M14" t="s">
        <v>115</v>
      </c>
      <c r="N14" t="s">
        <v>118</v>
      </c>
    </row>
    <row r="15" spans="1:14" x14ac:dyDescent="0.3">
      <c r="A15">
        <v>1014</v>
      </c>
      <c r="B15" t="s">
        <v>27</v>
      </c>
      <c r="C15" t="s">
        <v>69</v>
      </c>
      <c r="D15" t="s">
        <v>101</v>
      </c>
      <c r="E15">
        <v>1</v>
      </c>
      <c r="F15">
        <v>42</v>
      </c>
      <c r="G15" t="s">
        <v>106</v>
      </c>
      <c r="H15" t="s">
        <v>111</v>
      </c>
      <c r="I15">
        <v>4</v>
      </c>
      <c r="J15">
        <v>42</v>
      </c>
      <c r="K15">
        <v>18</v>
      </c>
      <c r="L15">
        <v>24</v>
      </c>
      <c r="M15" t="s">
        <v>116</v>
      </c>
      <c r="N15" t="s">
        <v>118</v>
      </c>
    </row>
    <row r="16" spans="1:14" x14ac:dyDescent="0.3">
      <c r="A16">
        <v>1015</v>
      </c>
      <c r="B16" t="s">
        <v>28</v>
      </c>
      <c r="C16" t="s">
        <v>70</v>
      </c>
      <c r="D16" t="s">
        <v>97</v>
      </c>
      <c r="E16">
        <v>5</v>
      </c>
      <c r="F16">
        <v>8</v>
      </c>
      <c r="G16" t="s">
        <v>109</v>
      </c>
      <c r="H16" t="s">
        <v>110</v>
      </c>
      <c r="I16">
        <v>5</v>
      </c>
      <c r="J16">
        <v>40</v>
      </c>
      <c r="K16">
        <v>15</v>
      </c>
      <c r="L16">
        <v>25</v>
      </c>
      <c r="M16" t="s">
        <v>117</v>
      </c>
      <c r="N16" t="s">
        <v>118</v>
      </c>
    </row>
    <row r="17" spans="1:14" x14ac:dyDescent="0.3">
      <c r="A17">
        <v>1016</v>
      </c>
      <c r="B17" t="s">
        <v>29</v>
      </c>
      <c r="C17" t="s">
        <v>71</v>
      </c>
      <c r="D17" t="s">
        <v>97</v>
      </c>
      <c r="E17">
        <v>3</v>
      </c>
      <c r="F17">
        <v>12</v>
      </c>
      <c r="G17" t="s">
        <v>104</v>
      </c>
      <c r="H17" t="s">
        <v>110</v>
      </c>
      <c r="I17">
        <v>5</v>
      </c>
      <c r="J17">
        <v>36</v>
      </c>
      <c r="K17">
        <v>15</v>
      </c>
      <c r="L17">
        <v>21</v>
      </c>
      <c r="M17" t="s">
        <v>113</v>
      </c>
      <c r="N17" t="s">
        <v>118</v>
      </c>
    </row>
    <row r="18" spans="1:14" x14ac:dyDescent="0.3">
      <c r="A18">
        <v>1017</v>
      </c>
      <c r="B18" t="s">
        <v>30</v>
      </c>
      <c r="C18" t="s">
        <v>72</v>
      </c>
      <c r="D18" t="s">
        <v>96</v>
      </c>
      <c r="E18">
        <v>2</v>
      </c>
      <c r="F18">
        <v>18</v>
      </c>
      <c r="G18" t="s">
        <v>105</v>
      </c>
      <c r="H18" t="s">
        <v>112</v>
      </c>
      <c r="I18">
        <v>4</v>
      </c>
      <c r="J18">
        <v>36</v>
      </c>
      <c r="K18">
        <v>16</v>
      </c>
      <c r="L18">
        <v>20</v>
      </c>
      <c r="M18" t="s">
        <v>114</v>
      </c>
      <c r="N18" t="s">
        <v>118</v>
      </c>
    </row>
    <row r="19" spans="1:14" x14ac:dyDescent="0.3">
      <c r="A19">
        <v>1018</v>
      </c>
      <c r="B19" t="s">
        <v>31</v>
      </c>
      <c r="C19" t="s">
        <v>73</v>
      </c>
      <c r="D19" t="s">
        <v>99</v>
      </c>
      <c r="E19">
        <v>1</v>
      </c>
      <c r="F19">
        <v>95</v>
      </c>
      <c r="G19" t="s">
        <v>106</v>
      </c>
      <c r="H19" t="s">
        <v>111</v>
      </c>
      <c r="I19">
        <v>4</v>
      </c>
      <c r="J19">
        <v>95</v>
      </c>
      <c r="K19">
        <v>55</v>
      </c>
      <c r="L19">
        <v>40</v>
      </c>
      <c r="M19" t="s">
        <v>115</v>
      </c>
      <c r="N19" t="s">
        <v>118</v>
      </c>
    </row>
    <row r="20" spans="1:14" x14ac:dyDescent="0.3">
      <c r="A20">
        <v>1019</v>
      </c>
      <c r="B20" t="s">
        <v>32</v>
      </c>
      <c r="C20" t="s">
        <v>74</v>
      </c>
      <c r="D20" t="s">
        <v>101</v>
      </c>
      <c r="E20">
        <v>1</v>
      </c>
      <c r="F20">
        <v>45</v>
      </c>
      <c r="G20" t="s">
        <v>107</v>
      </c>
      <c r="H20" t="s">
        <v>112</v>
      </c>
      <c r="I20">
        <v>5</v>
      </c>
      <c r="J20">
        <v>45</v>
      </c>
      <c r="K20">
        <v>20</v>
      </c>
      <c r="L20">
        <v>25</v>
      </c>
      <c r="M20" t="s">
        <v>116</v>
      </c>
      <c r="N20" t="s">
        <v>118</v>
      </c>
    </row>
    <row r="21" spans="1:14" x14ac:dyDescent="0.3">
      <c r="A21">
        <v>1020</v>
      </c>
      <c r="B21" t="s">
        <v>33</v>
      </c>
      <c r="C21" t="s">
        <v>75</v>
      </c>
      <c r="D21" t="s">
        <v>100</v>
      </c>
      <c r="E21">
        <v>1</v>
      </c>
      <c r="F21">
        <v>60</v>
      </c>
      <c r="G21" t="s">
        <v>108</v>
      </c>
      <c r="H21" t="s">
        <v>111</v>
      </c>
      <c r="I21">
        <v>3</v>
      </c>
      <c r="J21">
        <v>60</v>
      </c>
      <c r="K21">
        <v>35</v>
      </c>
      <c r="L21">
        <v>25</v>
      </c>
      <c r="M21" t="s">
        <v>117</v>
      </c>
      <c r="N21" t="s">
        <v>119</v>
      </c>
    </row>
    <row r="22" spans="1:14" x14ac:dyDescent="0.3">
      <c r="A22">
        <v>1021</v>
      </c>
      <c r="B22" t="s">
        <v>34</v>
      </c>
      <c r="C22" t="s">
        <v>76</v>
      </c>
      <c r="D22" t="s">
        <v>101</v>
      </c>
      <c r="E22">
        <v>4</v>
      </c>
      <c r="F22">
        <v>10</v>
      </c>
      <c r="G22" t="s">
        <v>109</v>
      </c>
      <c r="H22" t="s">
        <v>110</v>
      </c>
      <c r="I22">
        <v>5</v>
      </c>
      <c r="J22">
        <v>40</v>
      </c>
      <c r="K22">
        <v>16</v>
      </c>
      <c r="L22">
        <v>24</v>
      </c>
      <c r="M22" t="s">
        <v>113</v>
      </c>
      <c r="N22" t="s">
        <v>118</v>
      </c>
    </row>
    <row r="23" spans="1:14" x14ac:dyDescent="0.3">
      <c r="A23">
        <v>1022</v>
      </c>
      <c r="B23" t="s">
        <v>35</v>
      </c>
      <c r="C23" t="s">
        <v>77</v>
      </c>
      <c r="D23" t="s">
        <v>96</v>
      </c>
      <c r="E23">
        <v>1</v>
      </c>
      <c r="F23">
        <v>35</v>
      </c>
      <c r="G23" t="s">
        <v>104</v>
      </c>
      <c r="H23" t="s">
        <v>112</v>
      </c>
      <c r="I23">
        <v>4</v>
      </c>
      <c r="J23">
        <v>35</v>
      </c>
      <c r="K23">
        <v>15</v>
      </c>
      <c r="L23">
        <v>20</v>
      </c>
      <c r="M23" t="s">
        <v>114</v>
      </c>
      <c r="N23" t="s">
        <v>118</v>
      </c>
    </row>
    <row r="24" spans="1:14" x14ac:dyDescent="0.3">
      <c r="A24">
        <v>1023</v>
      </c>
      <c r="B24" t="s">
        <v>36</v>
      </c>
      <c r="C24" t="s">
        <v>78</v>
      </c>
      <c r="D24" t="s">
        <v>96</v>
      </c>
      <c r="E24">
        <v>2</v>
      </c>
      <c r="F24">
        <v>15</v>
      </c>
      <c r="G24" t="s">
        <v>105</v>
      </c>
      <c r="H24" t="s">
        <v>111</v>
      </c>
      <c r="I24">
        <v>4</v>
      </c>
      <c r="J24">
        <v>30</v>
      </c>
      <c r="K24">
        <v>12</v>
      </c>
      <c r="L24">
        <v>18</v>
      </c>
      <c r="M24" t="s">
        <v>115</v>
      </c>
      <c r="N24" t="s">
        <v>118</v>
      </c>
    </row>
    <row r="25" spans="1:14" x14ac:dyDescent="0.3">
      <c r="A25">
        <v>1024</v>
      </c>
      <c r="B25" t="s">
        <v>37</v>
      </c>
      <c r="C25" t="s">
        <v>79</v>
      </c>
      <c r="D25" t="s">
        <v>97</v>
      </c>
      <c r="E25">
        <v>1</v>
      </c>
      <c r="F25">
        <v>18</v>
      </c>
      <c r="G25" t="s">
        <v>106</v>
      </c>
      <c r="H25" t="s">
        <v>110</v>
      </c>
      <c r="I25">
        <v>3</v>
      </c>
      <c r="J25">
        <v>18</v>
      </c>
      <c r="K25">
        <v>8</v>
      </c>
      <c r="L25">
        <v>10</v>
      </c>
      <c r="M25" t="s">
        <v>116</v>
      </c>
      <c r="N25" t="s">
        <v>118</v>
      </c>
    </row>
    <row r="26" spans="1:14" x14ac:dyDescent="0.3">
      <c r="A26">
        <v>1025</v>
      </c>
      <c r="B26" t="s">
        <v>38</v>
      </c>
      <c r="C26" t="s">
        <v>80</v>
      </c>
      <c r="D26" t="s">
        <v>98</v>
      </c>
      <c r="E26">
        <v>1</v>
      </c>
      <c r="F26">
        <v>120</v>
      </c>
      <c r="G26" t="s">
        <v>107</v>
      </c>
      <c r="H26" t="s">
        <v>112</v>
      </c>
      <c r="I26">
        <v>5</v>
      </c>
      <c r="J26">
        <v>120</v>
      </c>
      <c r="K26">
        <v>70</v>
      </c>
      <c r="L26">
        <v>50</v>
      </c>
      <c r="M26" t="s">
        <v>117</v>
      </c>
      <c r="N26" t="s">
        <v>118</v>
      </c>
    </row>
    <row r="27" spans="1:14" x14ac:dyDescent="0.3">
      <c r="A27">
        <v>1026</v>
      </c>
      <c r="B27" t="s">
        <v>39</v>
      </c>
      <c r="C27" t="s">
        <v>81</v>
      </c>
      <c r="D27" t="s">
        <v>98</v>
      </c>
      <c r="E27">
        <v>5</v>
      </c>
      <c r="F27">
        <v>6</v>
      </c>
      <c r="G27" t="s">
        <v>108</v>
      </c>
      <c r="H27" t="s">
        <v>111</v>
      </c>
      <c r="I27">
        <v>4</v>
      </c>
      <c r="J27">
        <v>30</v>
      </c>
      <c r="K27">
        <v>15</v>
      </c>
      <c r="L27">
        <v>15</v>
      </c>
      <c r="M27" t="s">
        <v>113</v>
      </c>
      <c r="N27" t="s">
        <v>118</v>
      </c>
    </row>
    <row r="28" spans="1:14" x14ac:dyDescent="0.3">
      <c r="A28">
        <v>1027</v>
      </c>
      <c r="B28" t="s">
        <v>40</v>
      </c>
      <c r="C28" t="s">
        <v>82</v>
      </c>
      <c r="D28" t="s">
        <v>96</v>
      </c>
      <c r="E28">
        <v>3</v>
      </c>
      <c r="F28">
        <v>12</v>
      </c>
      <c r="G28" t="s">
        <v>109</v>
      </c>
      <c r="H28" t="s">
        <v>112</v>
      </c>
      <c r="I28">
        <v>5</v>
      </c>
      <c r="J28">
        <v>36</v>
      </c>
      <c r="K28">
        <v>15</v>
      </c>
      <c r="L28">
        <v>21</v>
      </c>
      <c r="M28" t="s">
        <v>114</v>
      </c>
      <c r="N28" t="s">
        <v>118</v>
      </c>
    </row>
    <row r="29" spans="1:14" x14ac:dyDescent="0.3">
      <c r="A29">
        <v>1028</v>
      </c>
      <c r="B29" t="s">
        <v>41</v>
      </c>
      <c r="C29" t="s">
        <v>83</v>
      </c>
      <c r="D29" t="s">
        <v>101</v>
      </c>
      <c r="E29">
        <v>1</v>
      </c>
      <c r="F29">
        <v>30</v>
      </c>
      <c r="G29" t="s">
        <v>104</v>
      </c>
      <c r="H29" t="s">
        <v>111</v>
      </c>
      <c r="I29">
        <v>4</v>
      </c>
      <c r="J29">
        <v>30</v>
      </c>
      <c r="K29">
        <v>14</v>
      </c>
      <c r="L29">
        <v>16</v>
      </c>
      <c r="M29" t="s">
        <v>115</v>
      </c>
      <c r="N29" t="s">
        <v>119</v>
      </c>
    </row>
    <row r="30" spans="1:14" x14ac:dyDescent="0.3">
      <c r="A30">
        <v>1029</v>
      </c>
      <c r="B30" t="s">
        <v>42</v>
      </c>
      <c r="C30" t="s">
        <v>84</v>
      </c>
      <c r="D30" t="s">
        <v>101</v>
      </c>
      <c r="E30">
        <v>2</v>
      </c>
      <c r="F30">
        <v>25</v>
      </c>
      <c r="G30" t="s">
        <v>105</v>
      </c>
      <c r="H30" t="s">
        <v>110</v>
      </c>
      <c r="I30">
        <v>5</v>
      </c>
      <c r="J30">
        <v>50</v>
      </c>
      <c r="K30">
        <v>22</v>
      </c>
      <c r="L30">
        <v>28</v>
      </c>
      <c r="M30" t="s">
        <v>116</v>
      </c>
      <c r="N30" t="s">
        <v>118</v>
      </c>
    </row>
    <row r="31" spans="1:14" x14ac:dyDescent="0.3">
      <c r="A31">
        <v>1030</v>
      </c>
      <c r="B31" t="s">
        <v>43</v>
      </c>
      <c r="C31" t="s">
        <v>85</v>
      </c>
      <c r="D31" t="s">
        <v>96</v>
      </c>
      <c r="E31">
        <v>1</v>
      </c>
      <c r="F31">
        <v>22</v>
      </c>
      <c r="G31" t="s">
        <v>106</v>
      </c>
      <c r="H31" t="s">
        <v>112</v>
      </c>
      <c r="I31">
        <v>4</v>
      </c>
      <c r="J31">
        <v>22</v>
      </c>
      <c r="K31">
        <v>10</v>
      </c>
      <c r="L31">
        <v>12</v>
      </c>
      <c r="M31" t="s">
        <v>117</v>
      </c>
      <c r="N31" t="s">
        <v>118</v>
      </c>
    </row>
    <row r="32" spans="1:14" x14ac:dyDescent="0.3">
      <c r="A32">
        <v>1031</v>
      </c>
      <c r="B32" t="s">
        <v>44</v>
      </c>
      <c r="C32" t="s">
        <v>86</v>
      </c>
      <c r="D32" t="s">
        <v>98</v>
      </c>
      <c r="E32">
        <v>2</v>
      </c>
      <c r="F32">
        <v>8</v>
      </c>
      <c r="G32" t="s">
        <v>107</v>
      </c>
      <c r="H32" t="s">
        <v>111</v>
      </c>
      <c r="I32">
        <v>3</v>
      </c>
      <c r="J32">
        <v>16</v>
      </c>
      <c r="K32">
        <v>6</v>
      </c>
      <c r="L32">
        <v>10</v>
      </c>
      <c r="M32" t="s">
        <v>113</v>
      </c>
      <c r="N32" t="s">
        <v>118</v>
      </c>
    </row>
    <row r="33" spans="1:14" x14ac:dyDescent="0.3">
      <c r="A33">
        <v>1032</v>
      </c>
      <c r="B33" t="s">
        <v>45</v>
      </c>
      <c r="C33" t="s">
        <v>87</v>
      </c>
      <c r="D33" t="s">
        <v>97</v>
      </c>
      <c r="E33">
        <v>1</v>
      </c>
      <c r="F33">
        <v>28</v>
      </c>
      <c r="G33" t="s">
        <v>108</v>
      </c>
      <c r="H33" t="s">
        <v>110</v>
      </c>
      <c r="I33">
        <v>4</v>
      </c>
      <c r="J33">
        <v>28</v>
      </c>
      <c r="K33">
        <v>12</v>
      </c>
      <c r="L33">
        <v>16</v>
      </c>
      <c r="M33" t="s">
        <v>114</v>
      </c>
      <c r="N33" t="s">
        <v>118</v>
      </c>
    </row>
    <row r="34" spans="1:14" x14ac:dyDescent="0.3">
      <c r="A34">
        <v>1033</v>
      </c>
      <c r="B34" t="s">
        <v>46</v>
      </c>
      <c r="C34" t="s">
        <v>88</v>
      </c>
      <c r="D34" t="s">
        <v>97</v>
      </c>
      <c r="E34">
        <v>1</v>
      </c>
      <c r="F34">
        <v>20</v>
      </c>
      <c r="G34" t="s">
        <v>109</v>
      </c>
      <c r="H34" t="s">
        <v>112</v>
      </c>
      <c r="I34">
        <v>5</v>
      </c>
      <c r="J34">
        <v>20</v>
      </c>
      <c r="K34">
        <v>9</v>
      </c>
      <c r="L34">
        <v>11</v>
      </c>
      <c r="M34" t="s">
        <v>115</v>
      </c>
      <c r="N34" t="s">
        <v>118</v>
      </c>
    </row>
    <row r="35" spans="1:14" x14ac:dyDescent="0.3">
      <c r="A35">
        <v>1034</v>
      </c>
      <c r="B35" t="s">
        <v>47</v>
      </c>
      <c r="C35" t="s">
        <v>89</v>
      </c>
      <c r="D35" t="s">
        <v>98</v>
      </c>
      <c r="E35">
        <v>1</v>
      </c>
      <c r="F35">
        <v>150</v>
      </c>
      <c r="G35" t="s">
        <v>104</v>
      </c>
      <c r="H35" t="s">
        <v>111</v>
      </c>
      <c r="I35">
        <v>4</v>
      </c>
      <c r="J35">
        <v>150</v>
      </c>
      <c r="K35">
        <v>90</v>
      </c>
      <c r="L35">
        <v>60</v>
      </c>
      <c r="M35" t="s">
        <v>116</v>
      </c>
      <c r="N35" t="s">
        <v>118</v>
      </c>
    </row>
    <row r="36" spans="1:14" x14ac:dyDescent="0.3">
      <c r="A36">
        <v>1035</v>
      </c>
      <c r="B36" t="s">
        <v>48</v>
      </c>
      <c r="C36" t="s">
        <v>90</v>
      </c>
      <c r="D36" t="s">
        <v>98</v>
      </c>
      <c r="E36">
        <v>1</v>
      </c>
      <c r="F36">
        <v>300</v>
      </c>
      <c r="G36" t="s">
        <v>105</v>
      </c>
      <c r="H36" t="s">
        <v>112</v>
      </c>
      <c r="I36">
        <v>5</v>
      </c>
      <c r="J36">
        <v>300</v>
      </c>
      <c r="K36">
        <v>180</v>
      </c>
      <c r="L36">
        <v>120</v>
      </c>
      <c r="M36" t="s">
        <v>117</v>
      </c>
      <c r="N36" t="s">
        <v>118</v>
      </c>
    </row>
    <row r="37" spans="1:14" x14ac:dyDescent="0.3">
      <c r="A37">
        <v>1036</v>
      </c>
      <c r="B37" t="s">
        <v>49</v>
      </c>
      <c r="C37" t="s">
        <v>91</v>
      </c>
      <c r="D37" t="s">
        <v>96</v>
      </c>
      <c r="E37">
        <v>1</v>
      </c>
      <c r="F37">
        <v>85</v>
      </c>
      <c r="G37" t="s">
        <v>106</v>
      </c>
      <c r="H37" t="s">
        <v>110</v>
      </c>
      <c r="I37">
        <v>4</v>
      </c>
      <c r="J37">
        <v>85</v>
      </c>
      <c r="K37">
        <v>45</v>
      </c>
      <c r="L37">
        <v>40</v>
      </c>
      <c r="M37" t="s">
        <v>113</v>
      </c>
      <c r="N37" t="s">
        <v>118</v>
      </c>
    </row>
    <row r="38" spans="1:14" x14ac:dyDescent="0.3">
      <c r="A38">
        <v>1037</v>
      </c>
      <c r="B38" t="s">
        <v>50</v>
      </c>
      <c r="C38" t="s">
        <v>92</v>
      </c>
      <c r="D38" t="s">
        <v>96</v>
      </c>
      <c r="E38">
        <v>1</v>
      </c>
      <c r="F38">
        <v>50</v>
      </c>
      <c r="G38" t="s">
        <v>107</v>
      </c>
      <c r="H38" t="s">
        <v>111</v>
      </c>
      <c r="I38">
        <v>4</v>
      </c>
      <c r="J38">
        <v>50</v>
      </c>
      <c r="K38">
        <v>25</v>
      </c>
      <c r="L38">
        <v>25</v>
      </c>
      <c r="M38" t="s">
        <v>114</v>
      </c>
      <c r="N38" t="s">
        <v>119</v>
      </c>
    </row>
    <row r="39" spans="1:14" x14ac:dyDescent="0.3">
      <c r="A39">
        <v>1038</v>
      </c>
      <c r="B39" t="s">
        <v>51</v>
      </c>
      <c r="C39" t="s">
        <v>93</v>
      </c>
      <c r="D39" t="s">
        <v>101</v>
      </c>
      <c r="E39">
        <v>1</v>
      </c>
      <c r="F39">
        <v>40</v>
      </c>
      <c r="G39" t="s">
        <v>108</v>
      </c>
      <c r="H39" t="s">
        <v>112</v>
      </c>
      <c r="I39">
        <v>5</v>
      </c>
      <c r="J39">
        <v>40</v>
      </c>
      <c r="K39">
        <v>18</v>
      </c>
      <c r="L39">
        <v>22</v>
      </c>
      <c r="M39" t="s">
        <v>115</v>
      </c>
      <c r="N39" t="s">
        <v>118</v>
      </c>
    </row>
    <row r="40" spans="1:14" x14ac:dyDescent="0.3">
      <c r="A40">
        <v>1039</v>
      </c>
      <c r="B40" t="s">
        <v>52</v>
      </c>
      <c r="C40" t="s">
        <v>94</v>
      </c>
      <c r="D40" t="s">
        <v>101</v>
      </c>
      <c r="E40">
        <v>2</v>
      </c>
      <c r="F40">
        <v>35</v>
      </c>
      <c r="G40" t="s">
        <v>109</v>
      </c>
      <c r="H40" t="s">
        <v>110</v>
      </c>
      <c r="I40">
        <v>4</v>
      </c>
      <c r="J40">
        <v>70</v>
      </c>
      <c r="K40">
        <v>30</v>
      </c>
      <c r="L40">
        <v>40</v>
      </c>
      <c r="M40" t="s">
        <v>116</v>
      </c>
      <c r="N40" t="s">
        <v>118</v>
      </c>
    </row>
    <row r="41" spans="1:14" x14ac:dyDescent="0.3">
      <c r="A41">
        <v>1040</v>
      </c>
      <c r="B41" t="s">
        <v>53</v>
      </c>
      <c r="C41" t="s">
        <v>95</v>
      </c>
      <c r="D41" t="s">
        <v>99</v>
      </c>
      <c r="E41">
        <v>1</v>
      </c>
      <c r="F41">
        <v>130</v>
      </c>
      <c r="G41" t="s">
        <v>104</v>
      </c>
      <c r="H41" t="s">
        <v>111</v>
      </c>
      <c r="I41">
        <v>5</v>
      </c>
      <c r="J41">
        <v>130</v>
      </c>
      <c r="K41">
        <v>80</v>
      </c>
      <c r="L41">
        <v>50</v>
      </c>
      <c r="M41" t="s">
        <v>117</v>
      </c>
      <c r="N41" t="s">
        <v>118</v>
      </c>
    </row>
    <row r="42" spans="1:14" x14ac:dyDescent="0.3">
      <c r="A42">
        <v>1041</v>
      </c>
      <c r="B42" t="s">
        <v>54</v>
      </c>
      <c r="C42" t="s">
        <v>95</v>
      </c>
      <c r="D42" t="s">
        <v>102</v>
      </c>
      <c r="E42">
        <v>1</v>
      </c>
      <c r="F42">
        <v>130</v>
      </c>
      <c r="G42" t="s">
        <v>104</v>
      </c>
      <c r="H42" t="s">
        <v>111</v>
      </c>
      <c r="I42">
        <v>5</v>
      </c>
      <c r="J42">
        <v>130</v>
      </c>
      <c r="K42">
        <v>80</v>
      </c>
      <c r="L42">
        <v>50</v>
      </c>
      <c r="M42" t="s">
        <v>117</v>
      </c>
      <c r="N42" t="s">
        <v>118</v>
      </c>
    </row>
    <row r="43" spans="1:14" x14ac:dyDescent="0.3">
      <c r="A43">
        <v>1042</v>
      </c>
      <c r="B43" t="s">
        <v>55</v>
      </c>
      <c r="C43" t="s">
        <v>95</v>
      </c>
      <c r="D43" t="s">
        <v>103</v>
      </c>
      <c r="E43">
        <v>4</v>
      </c>
      <c r="F43">
        <v>130</v>
      </c>
      <c r="G43" t="s">
        <v>104</v>
      </c>
      <c r="H43" t="s">
        <v>111</v>
      </c>
      <c r="I43">
        <v>5</v>
      </c>
      <c r="J43">
        <v>130</v>
      </c>
      <c r="K43">
        <v>80</v>
      </c>
      <c r="L43">
        <v>50</v>
      </c>
      <c r="M43" t="s">
        <v>117</v>
      </c>
      <c r="N4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6"/>
  <sheetViews>
    <sheetView workbookViewId="0">
      <selection activeCell="E7" sqref="E7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8" x14ac:dyDescent="0.35">
      <c r="A1" s="1" t="s">
        <v>120</v>
      </c>
    </row>
    <row r="4" spans="1:5" x14ac:dyDescent="0.3">
      <c r="A4" s="2" t="s">
        <v>2</v>
      </c>
      <c r="B4" s="2" t="s">
        <v>5</v>
      </c>
      <c r="D4" s="2" t="s">
        <v>121</v>
      </c>
      <c r="E4" s="2" t="s">
        <v>122</v>
      </c>
    </row>
    <row r="5" spans="1:5" x14ac:dyDescent="0.3">
      <c r="A5" t="s">
        <v>56</v>
      </c>
      <c r="B5">
        <v>25.5</v>
      </c>
      <c r="D5" s="3" t="s">
        <v>123</v>
      </c>
      <c r="E5" s="4">
        <f>AVERAGE(B5:B46)</f>
        <v>60.011904761904759</v>
      </c>
    </row>
    <row r="6" spans="1:5" x14ac:dyDescent="0.3">
      <c r="A6" t="s">
        <v>57</v>
      </c>
      <c r="B6">
        <v>18</v>
      </c>
      <c r="D6" s="3" t="s">
        <v>124</v>
      </c>
      <c r="E6" s="4">
        <f>MEDIAN(B5:B46)</f>
        <v>35</v>
      </c>
    </row>
    <row r="7" spans="1:5" x14ac:dyDescent="0.3">
      <c r="A7" t="s">
        <v>58</v>
      </c>
      <c r="B7">
        <v>85</v>
      </c>
      <c r="D7" s="3" t="s">
        <v>125</v>
      </c>
      <c r="E7" s="4">
        <f>_xlfn.MODE.SNGL(B5:B46)</f>
        <v>18</v>
      </c>
    </row>
    <row r="8" spans="1:5" x14ac:dyDescent="0.3">
      <c r="A8" t="s">
        <v>59</v>
      </c>
      <c r="B8">
        <v>110</v>
      </c>
      <c r="D8" s="3" t="s">
        <v>126</v>
      </c>
      <c r="E8" s="4">
        <f>_xlfn.STDEV.S(B5:B46)</f>
        <v>63.23692269082472</v>
      </c>
    </row>
    <row r="9" spans="1:5" x14ac:dyDescent="0.3">
      <c r="A9" t="s">
        <v>60</v>
      </c>
      <c r="B9">
        <v>35</v>
      </c>
    </row>
    <row r="10" spans="1:5" x14ac:dyDescent="0.3">
      <c r="A10" t="s">
        <v>61</v>
      </c>
      <c r="B10">
        <v>250</v>
      </c>
    </row>
    <row r="11" spans="1:5" x14ac:dyDescent="0.3">
      <c r="A11" t="s">
        <v>62</v>
      </c>
      <c r="B11">
        <v>45</v>
      </c>
      <c r="D11" s="5" t="s">
        <v>127</v>
      </c>
    </row>
    <row r="12" spans="1:5" x14ac:dyDescent="0.3">
      <c r="A12" t="s">
        <v>63</v>
      </c>
      <c r="B12">
        <v>15</v>
      </c>
    </row>
    <row r="13" spans="1:5" x14ac:dyDescent="0.3">
      <c r="A13" t="s">
        <v>64</v>
      </c>
      <c r="B13">
        <v>90</v>
      </c>
    </row>
    <row r="14" spans="1:5" x14ac:dyDescent="0.3">
      <c r="A14" t="s">
        <v>65</v>
      </c>
      <c r="B14">
        <v>65</v>
      </c>
    </row>
    <row r="15" spans="1:5" x14ac:dyDescent="0.3">
      <c r="A15" t="s">
        <v>66</v>
      </c>
      <c r="B15">
        <v>28</v>
      </c>
    </row>
    <row r="16" spans="1:5" x14ac:dyDescent="0.3">
      <c r="A16" t="s">
        <v>67</v>
      </c>
      <c r="B16">
        <v>55</v>
      </c>
    </row>
    <row r="17" spans="1:2" x14ac:dyDescent="0.3">
      <c r="A17" t="s">
        <v>68</v>
      </c>
      <c r="B17">
        <v>20</v>
      </c>
    </row>
    <row r="18" spans="1:2" x14ac:dyDescent="0.3">
      <c r="A18" t="s">
        <v>69</v>
      </c>
      <c r="B18">
        <v>42</v>
      </c>
    </row>
    <row r="19" spans="1:2" x14ac:dyDescent="0.3">
      <c r="A19" t="s">
        <v>70</v>
      </c>
      <c r="B19">
        <v>8</v>
      </c>
    </row>
    <row r="20" spans="1:2" x14ac:dyDescent="0.3">
      <c r="A20" t="s">
        <v>71</v>
      </c>
      <c r="B20">
        <v>12</v>
      </c>
    </row>
    <row r="21" spans="1:2" x14ac:dyDescent="0.3">
      <c r="A21" t="s">
        <v>72</v>
      </c>
      <c r="B21">
        <v>18</v>
      </c>
    </row>
    <row r="22" spans="1:2" x14ac:dyDescent="0.3">
      <c r="A22" t="s">
        <v>73</v>
      </c>
      <c r="B22">
        <v>95</v>
      </c>
    </row>
    <row r="23" spans="1:2" x14ac:dyDescent="0.3">
      <c r="A23" t="s">
        <v>74</v>
      </c>
      <c r="B23">
        <v>45</v>
      </c>
    </row>
    <row r="24" spans="1:2" x14ac:dyDescent="0.3">
      <c r="A24" t="s">
        <v>75</v>
      </c>
      <c r="B24">
        <v>60</v>
      </c>
    </row>
    <row r="25" spans="1:2" x14ac:dyDescent="0.3">
      <c r="A25" t="s">
        <v>76</v>
      </c>
      <c r="B25">
        <v>10</v>
      </c>
    </row>
    <row r="26" spans="1:2" x14ac:dyDescent="0.3">
      <c r="A26" t="s">
        <v>77</v>
      </c>
      <c r="B26">
        <v>35</v>
      </c>
    </row>
    <row r="27" spans="1:2" x14ac:dyDescent="0.3">
      <c r="A27" t="s">
        <v>78</v>
      </c>
      <c r="B27">
        <v>15</v>
      </c>
    </row>
    <row r="28" spans="1:2" x14ac:dyDescent="0.3">
      <c r="A28" t="s">
        <v>79</v>
      </c>
      <c r="B28">
        <v>18</v>
      </c>
    </row>
    <row r="29" spans="1:2" x14ac:dyDescent="0.3">
      <c r="A29" t="s">
        <v>80</v>
      </c>
      <c r="B29">
        <v>120</v>
      </c>
    </row>
    <row r="30" spans="1:2" x14ac:dyDescent="0.3">
      <c r="A30" t="s">
        <v>81</v>
      </c>
      <c r="B30">
        <v>6</v>
      </c>
    </row>
    <row r="31" spans="1:2" x14ac:dyDescent="0.3">
      <c r="A31" t="s">
        <v>82</v>
      </c>
      <c r="B31">
        <v>12</v>
      </c>
    </row>
    <row r="32" spans="1:2" x14ac:dyDescent="0.3">
      <c r="A32" t="s">
        <v>83</v>
      </c>
      <c r="B32">
        <v>30</v>
      </c>
    </row>
    <row r="33" spans="1:2" x14ac:dyDescent="0.3">
      <c r="A33" t="s">
        <v>84</v>
      </c>
      <c r="B33">
        <v>25</v>
      </c>
    </row>
    <row r="34" spans="1:2" x14ac:dyDescent="0.3">
      <c r="A34" t="s">
        <v>85</v>
      </c>
      <c r="B34">
        <v>22</v>
      </c>
    </row>
    <row r="35" spans="1:2" x14ac:dyDescent="0.3">
      <c r="A35" t="s">
        <v>86</v>
      </c>
      <c r="B35">
        <v>8</v>
      </c>
    </row>
    <row r="36" spans="1:2" x14ac:dyDescent="0.3">
      <c r="A36" t="s">
        <v>87</v>
      </c>
      <c r="B36">
        <v>28</v>
      </c>
    </row>
    <row r="37" spans="1:2" x14ac:dyDescent="0.3">
      <c r="A37" t="s">
        <v>88</v>
      </c>
      <c r="B37">
        <v>20</v>
      </c>
    </row>
    <row r="38" spans="1:2" x14ac:dyDescent="0.3">
      <c r="A38" t="s">
        <v>89</v>
      </c>
      <c r="B38">
        <v>150</v>
      </c>
    </row>
    <row r="39" spans="1:2" x14ac:dyDescent="0.3">
      <c r="A39" t="s">
        <v>90</v>
      </c>
      <c r="B39">
        <v>300</v>
      </c>
    </row>
    <row r="40" spans="1:2" x14ac:dyDescent="0.3">
      <c r="A40" t="s">
        <v>91</v>
      </c>
      <c r="B40">
        <v>85</v>
      </c>
    </row>
    <row r="41" spans="1:2" x14ac:dyDescent="0.3">
      <c r="A41" t="s">
        <v>92</v>
      </c>
      <c r="B41">
        <v>50</v>
      </c>
    </row>
    <row r="42" spans="1:2" x14ac:dyDescent="0.3">
      <c r="A42" t="s">
        <v>93</v>
      </c>
      <c r="B42">
        <v>40</v>
      </c>
    </row>
    <row r="43" spans="1:2" x14ac:dyDescent="0.3">
      <c r="A43" t="s">
        <v>94</v>
      </c>
      <c r="B43">
        <v>35</v>
      </c>
    </row>
    <row r="44" spans="1:2" x14ac:dyDescent="0.3">
      <c r="A44" t="s">
        <v>95</v>
      </c>
      <c r="B44">
        <v>130</v>
      </c>
    </row>
    <row r="45" spans="1:2" x14ac:dyDescent="0.3">
      <c r="A45" t="s">
        <v>95</v>
      </c>
      <c r="B45">
        <v>130</v>
      </c>
    </row>
    <row r="46" spans="1:2" x14ac:dyDescent="0.3">
      <c r="A46" t="s">
        <v>95</v>
      </c>
      <c r="B46">
        <v>130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>
      <selection activeCell="H2" sqref="H2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5" max="5" width="20.6640625" customWidth="1"/>
    <col min="6" max="6" width="15.6640625" customWidth="1"/>
  </cols>
  <sheetData>
    <row r="1" spans="1:6" ht="18" x14ac:dyDescent="0.35">
      <c r="A1" s="1" t="s">
        <v>128</v>
      </c>
    </row>
    <row r="4" spans="1:6" x14ac:dyDescent="0.3">
      <c r="A4" s="2" t="s">
        <v>2</v>
      </c>
      <c r="B4" s="2" t="s">
        <v>10</v>
      </c>
      <c r="C4" s="2" t="s">
        <v>11</v>
      </c>
      <c r="E4" s="2" t="s">
        <v>121</v>
      </c>
      <c r="F4" s="2" t="s">
        <v>122</v>
      </c>
    </row>
    <row r="5" spans="1:6" x14ac:dyDescent="0.3">
      <c r="A5" t="s">
        <v>56</v>
      </c>
      <c r="B5">
        <v>10</v>
      </c>
      <c r="C5">
        <v>15.5</v>
      </c>
      <c r="E5" s="3" t="s">
        <v>129</v>
      </c>
      <c r="F5" s="4">
        <f>AVERAGE(C5:C46)</f>
        <v>32.511904761904759</v>
      </c>
    </row>
    <row r="6" spans="1:6" x14ac:dyDescent="0.3">
      <c r="A6" t="s">
        <v>57</v>
      </c>
      <c r="B6">
        <v>14</v>
      </c>
      <c r="C6">
        <v>22</v>
      </c>
      <c r="E6" s="3" t="s">
        <v>126</v>
      </c>
      <c r="F6" s="4">
        <f>_xlfn.STDEV.S(C5:C46)</f>
        <v>20.550499399082351</v>
      </c>
    </row>
    <row r="7" spans="1:6" x14ac:dyDescent="0.3">
      <c r="A7" t="s">
        <v>58</v>
      </c>
      <c r="B7">
        <v>45</v>
      </c>
      <c r="C7">
        <v>40</v>
      </c>
      <c r="E7" s="3" t="s">
        <v>130</v>
      </c>
      <c r="F7" s="4">
        <f>MIN(C5:C46)</f>
        <v>10</v>
      </c>
    </row>
    <row r="8" spans="1:6" x14ac:dyDescent="0.3">
      <c r="A8" t="s">
        <v>59</v>
      </c>
      <c r="B8">
        <v>60</v>
      </c>
      <c r="C8">
        <v>50</v>
      </c>
      <c r="E8" s="3" t="s">
        <v>131</v>
      </c>
      <c r="F8" s="4">
        <f>MAX(C5:C46)</f>
        <v>120</v>
      </c>
    </row>
    <row r="9" spans="1:6" x14ac:dyDescent="0.3">
      <c r="A9" t="s">
        <v>60</v>
      </c>
      <c r="B9">
        <v>15</v>
      </c>
      <c r="C9">
        <v>20</v>
      </c>
    </row>
    <row r="10" spans="1:6" x14ac:dyDescent="0.3">
      <c r="A10" t="s">
        <v>61</v>
      </c>
      <c r="B10">
        <v>180</v>
      </c>
      <c r="C10">
        <v>70</v>
      </c>
    </row>
    <row r="11" spans="1:6" x14ac:dyDescent="0.3">
      <c r="A11" t="s">
        <v>62</v>
      </c>
      <c r="B11">
        <v>20</v>
      </c>
      <c r="C11">
        <v>25</v>
      </c>
      <c r="E11" s="5" t="s">
        <v>132</v>
      </c>
    </row>
    <row r="12" spans="1:6" x14ac:dyDescent="0.3">
      <c r="A12" t="s">
        <v>63</v>
      </c>
      <c r="B12">
        <v>18</v>
      </c>
      <c r="C12">
        <v>27</v>
      </c>
    </row>
    <row r="13" spans="1:6" x14ac:dyDescent="0.3">
      <c r="A13" t="s">
        <v>64</v>
      </c>
      <c r="B13">
        <v>50</v>
      </c>
      <c r="C13">
        <v>40</v>
      </c>
    </row>
    <row r="14" spans="1:6" x14ac:dyDescent="0.3">
      <c r="A14" t="s">
        <v>65</v>
      </c>
      <c r="B14">
        <v>70</v>
      </c>
      <c r="C14">
        <v>60</v>
      </c>
    </row>
    <row r="15" spans="1:6" x14ac:dyDescent="0.3">
      <c r="A15" t="s">
        <v>66</v>
      </c>
      <c r="B15">
        <v>12</v>
      </c>
      <c r="C15">
        <v>30</v>
      </c>
    </row>
    <row r="16" spans="1:6" x14ac:dyDescent="0.3">
      <c r="A16" t="s">
        <v>67</v>
      </c>
      <c r="B16">
        <v>25</v>
      </c>
      <c r="C16">
        <v>30</v>
      </c>
    </row>
    <row r="17" spans="1:3" x14ac:dyDescent="0.3">
      <c r="A17" t="s">
        <v>68</v>
      </c>
      <c r="B17">
        <v>32</v>
      </c>
      <c r="C17">
        <v>48</v>
      </c>
    </row>
    <row r="18" spans="1:3" x14ac:dyDescent="0.3">
      <c r="A18" t="s">
        <v>69</v>
      </c>
      <c r="B18">
        <v>18</v>
      </c>
      <c r="C18">
        <v>24</v>
      </c>
    </row>
    <row r="19" spans="1:3" x14ac:dyDescent="0.3">
      <c r="A19" t="s">
        <v>70</v>
      </c>
      <c r="B19">
        <v>15</v>
      </c>
      <c r="C19">
        <v>25</v>
      </c>
    </row>
    <row r="20" spans="1:3" x14ac:dyDescent="0.3">
      <c r="A20" t="s">
        <v>71</v>
      </c>
      <c r="B20">
        <v>15</v>
      </c>
      <c r="C20">
        <v>21</v>
      </c>
    </row>
    <row r="21" spans="1:3" x14ac:dyDescent="0.3">
      <c r="A21" t="s">
        <v>72</v>
      </c>
      <c r="B21">
        <v>16</v>
      </c>
      <c r="C21">
        <v>20</v>
      </c>
    </row>
    <row r="22" spans="1:3" x14ac:dyDescent="0.3">
      <c r="A22" t="s">
        <v>73</v>
      </c>
      <c r="B22">
        <v>55</v>
      </c>
      <c r="C22">
        <v>40</v>
      </c>
    </row>
    <row r="23" spans="1:3" x14ac:dyDescent="0.3">
      <c r="A23" t="s">
        <v>74</v>
      </c>
      <c r="B23">
        <v>20</v>
      </c>
      <c r="C23">
        <v>25</v>
      </c>
    </row>
    <row r="24" spans="1:3" x14ac:dyDescent="0.3">
      <c r="A24" t="s">
        <v>75</v>
      </c>
      <c r="B24">
        <v>35</v>
      </c>
      <c r="C24">
        <v>25</v>
      </c>
    </row>
    <row r="25" spans="1:3" x14ac:dyDescent="0.3">
      <c r="A25" t="s">
        <v>76</v>
      </c>
      <c r="B25">
        <v>16</v>
      </c>
      <c r="C25">
        <v>24</v>
      </c>
    </row>
    <row r="26" spans="1:3" x14ac:dyDescent="0.3">
      <c r="A26" t="s">
        <v>77</v>
      </c>
      <c r="B26">
        <v>15</v>
      </c>
      <c r="C26">
        <v>20</v>
      </c>
    </row>
    <row r="27" spans="1:3" x14ac:dyDescent="0.3">
      <c r="A27" t="s">
        <v>78</v>
      </c>
      <c r="B27">
        <v>12</v>
      </c>
      <c r="C27">
        <v>18</v>
      </c>
    </row>
    <row r="28" spans="1:3" x14ac:dyDescent="0.3">
      <c r="A28" t="s">
        <v>79</v>
      </c>
      <c r="B28">
        <v>8</v>
      </c>
      <c r="C28">
        <v>10</v>
      </c>
    </row>
    <row r="29" spans="1:3" x14ac:dyDescent="0.3">
      <c r="A29" t="s">
        <v>80</v>
      </c>
      <c r="B29">
        <v>70</v>
      </c>
      <c r="C29">
        <v>50</v>
      </c>
    </row>
    <row r="30" spans="1:3" x14ac:dyDescent="0.3">
      <c r="A30" t="s">
        <v>81</v>
      </c>
      <c r="B30">
        <v>15</v>
      </c>
      <c r="C30">
        <v>15</v>
      </c>
    </row>
    <row r="31" spans="1:3" x14ac:dyDescent="0.3">
      <c r="A31" t="s">
        <v>82</v>
      </c>
      <c r="B31">
        <v>15</v>
      </c>
      <c r="C31">
        <v>21</v>
      </c>
    </row>
    <row r="32" spans="1:3" x14ac:dyDescent="0.3">
      <c r="A32" t="s">
        <v>83</v>
      </c>
      <c r="B32">
        <v>14</v>
      </c>
      <c r="C32">
        <v>16</v>
      </c>
    </row>
    <row r="33" spans="1:3" x14ac:dyDescent="0.3">
      <c r="A33" t="s">
        <v>84</v>
      </c>
      <c r="B33">
        <v>22</v>
      </c>
      <c r="C33">
        <v>28</v>
      </c>
    </row>
    <row r="34" spans="1:3" x14ac:dyDescent="0.3">
      <c r="A34" t="s">
        <v>85</v>
      </c>
      <c r="B34">
        <v>10</v>
      </c>
      <c r="C34">
        <v>12</v>
      </c>
    </row>
    <row r="35" spans="1:3" x14ac:dyDescent="0.3">
      <c r="A35" t="s">
        <v>86</v>
      </c>
      <c r="B35">
        <v>6</v>
      </c>
      <c r="C35">
        <v>10</v>
      </c>
    </row>
    <row r="36" spans="1:3" x14ac:dyDescent="0.3">
      <c r="A36" t="s">
        <v>87</v>
      </c>
      <c r="B36">
        <v>12</v>
      </c>
      <c r="C36">
        <v>16</v>
      </c>
    </row>
    <row r="37" spans="1:3" x14ac:dyDescent="0.3">
      <c r="A37" t="s">
        <v>88</v>
      </c>
      <c r="B37">
        <v>9</v>
      </c>
      <c r="C37">
        <v>11</v>
      </c>
    </row>
    <row r="38" spans="1:3" x14ac:dyDescent="0.3">
      <c r="A38" t="s">
        <v>89</v>
      </c>
      <c r="B38">
        <v>90</v>
      </c>
      <c r="C38">
        <v>60</v>
      </c>
    </row>
    <row r="39" spans="1:3" x14ac:dyDescent="0.3">
      <c r="A39" t="s">
        <v>90</v>
      </c>
      <c r="B39">
        <v>180</v>
      </c>
      <c r="C39">
        <v>120</v>
      </c>
    </row>
    <row r="40" spans="1:3" x14ac:dyDescent="0.3">
      <c r="A40" t="s">
        <v>91</v>
      </c>
      <c r="B40">
        <v>45</v>
      </c>
      <c r="C40">
        <v>40</v>
      </c>
    </row>
    <row r="41" spans="1:3" x14ac:dyDescent="0.3">
      <c r="A41" t="s">
        <v>92</v>
      </c>
      <c r="B41">
        <v>25</v>
      </c>
      <c r="C41">
        <v>25</v>
      </c>
    </row>
    <row r="42" spans="1:3" x14ac:dyDescent="0.3">
      <c r="A42" t="s">
        <v>93</v>
      </c>
      <c r="B42">
        <v>18</v>
      </c>
      <c r="C42">
        <v>22</v>
      </c>
    </row>
    <row r="43" spans="1:3" x14ac:dyDescent="0.3">
      <c r="A43" t="s">
        <v>94</v>
      </c>
      <c r="B43">
        <v>30</v>
      </c>
      <c r="C43">
        <v>40</v>
      </c>
    </row>
    <row r="44" spans="1:3" x14ac:dyDescent="0.3">
      <c r="A44" t="s">
        <v>95</v>
      </c>
      <c r="B44">
        <v>80</v>
      </c>
      <c r="C44">
        <v>50</v>
      </c>
    </row>
    <row r="45" spans="1:3" x14ac:dyDescent="0.3">
      <c r="A45" t="s">
        <v>95</v>
      </c>
      <c r="B45">
        <v>80</v>
      </c>
      <c r="C45">
        <v>50</v>
      </c>
    </row>
    <row r="46" spans="1:3" x14ac:dyDescent="0.3">
      <c r="A46" t="s">
        <v>95</v>
      </c>
      <c r="B46">
        <v>80</v>
      </c>
      <c r="C46">
        <v>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6"/>
  <sheetViews>
    <sheetView topLeftCell="A3" workbookViewId="0">
      <selection activeCell="L29" sqref="L29"/>
    </sheetView>
  </sheetViews>
  <sheetFormatPr baseColWidth="10" defaultColWidth="8.77734375" defaultRowHeight="14.4" x14ac:dyDescent="0.3"/>
  <cols>
    <col min="1" max="1" width="30.6640625" customWidth="1"/>
    <col min="2" max="3" width="15.6640625" customWidth="1"/>
    <col min="4" max="4" width="20.6640625" customWidth="1"/>
    <col min="5" max="5" width="15.6640625" customWidth="1"/>
  </cols>
  <sheetData>
    <row r="1" spans="1:5" ht="18" x14ac:dyDescent="0.35">
      <c r="A1" s="1" t="s">
        <v>133</v>
      </c>
    </row>
    <row r="4" spans="1:5" x14ac:dyDescent="0.3">
      <c r="A4" s="2" t="s">
        <v>2</v>
      </c>
      <c r="B4" s="2" t="s">
        <v>8</v>
      </c>
      <c r="D4" s="2" t="s">
        <v>121</v>
      </c>
      <c r="E4" s="2" t="s">
        <v>122</v>
      </c>
    </row>
    <row r="5" spans="1:5" x14ac:dyDescent="0.3">
      <c r="A5" t="s">
        <v>56</v>
      </c>
      <c r="B5">
        <v>4</v>
      </c>
      <c r="D5" s="3" t="s">
        <v>123</v>
      </c>
      <c r="E5" s="4">
        <f>AVERAGE(B5:B46)</f>
        <v>4.2857142857142856</v>
      </c>
    </row>
    <row r="6" spans="1:5" x14ac:dyDescent="0.3">
      <c r="A6" t="s">
        <v>57</v>
      </c>
      <c r="B6">
        <v>5</v>
      </c>
      <c r="D6" s="3" t="s">
        <v>124</v>
      </c>
      <c r="E6" s="4">
        <f>MEDIAN(B5:B46)</f>
        <v>4</v>
      </c>
    </row>
    <row r="7" spans="1:5" x14ac:dyDescent="0.3">
      <c r="A7" t="s">
        <v>58</v>
      </c>
      <c r="B7">
        <v>4</v>
      </c>
      <c r="D7" s="3" t="s">
        <v>125</v>
      </c>
      <c r="E7" s="4">
        <f>_xlfn.MODE.SNGL(B5:B46)</f>
        <v>4</v>
      </c>
    </row>
    <row r="8" spans="1:5" x14ac:dyDescent="0.3">
      <c r="A8" t="s">
        <v>59</v>
      </c>
      <c r="B8">
        <v>5</v>
      </c>
    </row>
    <row r="9" spans="1:5" x14ac:dyDescent="0.3">
      <c r="A9" t="s">
        <v>60</v>
      </c>
      <c r="B9">
        <v>4</v>
      </c>
    </row>
    <row r="10" spans="1:5" x14ac:dyDescent="0.3">
      <c r="A10" t="s">
        <v>61</v>
      </c>
      <c r="B10">
        <v>5</v>
      </c>
      <c r="D10" s="9" t="s">
        <v>134</v>
      </c>
      <c r="E10" s="9"/>
    </row>
    <row r="11" spans="1:5" x14ac:dyDescent="0.3">
      <c r="A11" t="s">
        <v>62</v>
      </c>
      <c r="B11">
        <v>3</v>
      </c>
      <c r="D11" s="3" t="s">
        <v>135</v>
      </c>
      <c r="E11" s="3" t="s">
        <v>136</v>
      </c>
    </row>
    <row r="12" spans="1:5" x14ac:dyDescent="0.3">
      <c r="A12" t="s">
        <v>63</v>
      </c>
      <c r="B12">
        <v>4</v>
      </c>
      <c r="D12" s="3">
        <v>1</v>
      </c>
      <c r="E12" s="4">
        <f>COUNTIF($B$5:$B$46,D12)</f>
        <v>0</v>
      </c>
    </row>
    <row r="13" spans="1:5" x14ac:dyDescent="0.3">
      <c r="A13" t="s">
        <v>64</v>
      </c>
      <c r="B13">
        <v>5</v>
      </c>
      <c r="D13" s="3">
        <v>2</v>
      </c>
      <c r="E13" s="4">
        <f t="shared" ref="E13:E16" si="0">COUNTIF($B$5:$B$46,D13)</f>
        <v>1</v>
      </c>
    </row>
    <row r="14" spans="1:5" x14ac:dyDescent="0.3">
      <c r="A14" t="s">
        <v>65</v>
      </c>
      <c r="B14">
        <v>4</v>
      </c>
      <c r="D14" s="3">
        <v>3</v>
      </c>
      <c r="E14" s="4">
        <f t="shared" si="0"/>
        <v>4</v>
      </c>
    </row>
    <row r="15" spans="1:5" x14ac:dyDescent="0.3">
      <c r="A15" t="s">
        <v>66</v>
      </c>
      <c r="B15">
        <v>5</v>
      </c>
      <c r="D15" s="3">
        <v>4</v>
      </c>
      <c r="E15" s="4">
        <f t="shared" si="0"/>
        <v>19</v>
      </c>
    </row>
    <row r="16" spans="1:5" x14ac:dyDescent="0.3">
      <c r="A16" t="s">
        <v>67</v>
      </c>
      <c r="B16">
        <v>2</v>
      </c>
      <c r="D16" s="3">
        <v>5</v>
      </c>
      <c r="E16" s="4">
        <f t="shared" si="0"/>
        <v>18</v>
      </c>
    </row>
    <row r="17" spans="1:12" x14ac:dyDescent="0.3">
      <c r="A17" t="s">
        <v>68</v>
      </c>
      <c r="B17">
        <v>4</v>
      </c>
    </row>
    <row r="18" spans="1:12" x14ac:dyDescent="0.3">
      <c r="A18" t="s">
        <v>69</v>
      </c>
      <c r="B18">
        <v>4</v>
      </c>
    </row>
    <row r="19" spans="1:12" x14ac:dyDescent="0.3">
      <c r="A19" t="s">
        <v>70</v>
      </c>
      <c r="B19">
        <v>5</v>
      </c>
      <c r="D19" s="5" t="s">
        <v>137</v>
      </c>
    </row>
    <row r="20" spans="1:12" x14ac:dyDescent="0.3">
      <c r="A20" t="s">
        <v>71</v>
      </c>
      <c r="B20">
        <v>5</v>
      </c>
    </row>
    <row r="21" spans="1:12" x14ac:dyDescent="0.3">
      <c r="A21" t="s">
        <v>72</v>
      </c>
      <c r="B21">
        <v>4</v>
      </c>
    </row>
    <row r="22" spans="1:12" x14ac:dyDescent="0.3">
      <c r="A22" t="s">
        <v>73</v>
      </c>
      <c r="B22">
        <v>4</v>
      </c>
    </row>
    <row r="23" spans="1:12" x14ac:dyDescent="0.3">
      <c r="A23" t="s">
        <v>74</v>
      </c>
      <c r="B23">
        <v>5</v>
      </c>
    </row>
    <row r="24" spans="1:12" x14ac:dyDescent="0.3">
      <c r="A24" t="s">
        <v>75</v>
      </c>
      <c r="B24">
        <v>3</v>
      </c>
    </row>
    <row r="25" spans="1:12" x14ac:dyDescent="0.3">
      <c r="A25" t="s">
        <v>76</v>
      </c>
      <c r="B25">
        <v>5</v>
      </c>
    </row>
    <row r="26" spans="1:12" x14ac:dyDescent="0.3">
      <c r="A26" t="s">
        <v>77</v>
      </c>
      <c r="B26">
        <v>4</v>
      </c>
    </row>
    <row r="27" spans="1:12" x14ac:dyDescent="0.3">
      <c r="A27" t="s">
        <v>78</v>
      </c>
      <c r="B27">
        <v>4</v>
      </c>
    </row>
    <row r="28" spans="1:12" x14ac:dyDescent="0.3">
      <c r="A28" t="s">
        <v>79</v>
      </c>
      <c r="B28">
        <v>3</v>
      </c>
    </row>
    <row r="29" spans="1:12" x14ac:dyDescent="0.3">
      <c r="A29" t="s">
        <v>80</v>
      </c>
      <c r="B29">
        <v>5</v>
      </c>
      <c r="L29" s="10"/>
    </row>
    <row r="30" spans="1:12" x14ac:dyDescent="0.3">
      <c r="A30" t="s">
        <v>81</v>
      </c>
      <c r="B30">
        <v>4</v>
      </c>
    </row>
    <row r="31" spans="1:12" x14ac:dyDescent="0.3">
      <c r="A31" t="s">
        <v>82</v>
      </c>
      <c r="B31">
        <v>5</v>
      </c>
    </row>
    <row r="32" spans="1:12" x14ac:dyDescent="0.3">
      <c r="A32" t="s">
        <v>83</v>
      </c>
      <c r="B32">
        <v>4</v>
      </c>
    </row>
    <row r="33" spans="1:2" x14ac:dyDescent="0.3">
      <c r="A33" t="s">
        <v>84</v>
      </c>
      <c r="B33">
        <v>5</v>
      </c>
    </row>
    <row r="34" spans="1:2" x14ac:dyDescent="0.3">
      <c r="A34" t="s">
        <v>85</v>
      </c>
      <c r="B34">
        <v>4</v>
      </c>
    </row>
    <row r="35" spans="1:2" x14ac:dyDescent="0.3">
      <c r="A35" t="s">
        <v>86</v>
      </c>
      <c r="B35">
        <v>3</v>
      </c>
    </row>
    <row r="36" spans="1:2" x14ac:dyDescent="0.3">
      <c r="A36" t="s">
        <v>87</v>
      </c>
      <c r="B36">
        <v>4</v>
      </c>
    </row>
    <row r="37" spans="1:2" x14ac:dyDescent="0.3">
      <c r="A37" t="s">
        <v>88</v>
      </c>
      <c r="B37">
        <v>5</v>
      </c>
    </row>
    <row r="38" spans="1:2" x14ac:dyDescent="0.3">
      <c r="A38" t="s">
        <v>89</v>
      </c>
      <c r="B38">
        <v>4</v>
      </c>
    </row>
    <row r="39" spans="1:2" x14ac:dyDescent="0.3">
      <c r="A39" t="s">
        <v>90</v>
      </c>
      <c r="B39">
        <v>5</v>
      </c>
    </row>
    <row r="40" spans="1:2" x14ac:dyDescent="0.3">
      <c r="A40" t="s">
        <v>91</v>
      </c>
      <c r="B40">
        <v>4</v>
      </c>
    </row>
    <row r="41" spans="1:2" x14ac:dyDescent="0.3">
      <c r="A41" t="s">
        <v>92</v>
      </c>
      <c r="B41">
        <v>4</v>
      </c>
    </row>
    <row r="42" spans="1:2" x14ac:dyDescent="0.3">
      <c r="A42" t="s">
        <v>93</v>
      </c>
      <c r="B42">
        <v>5</v>
      </c>
    </row>
    <row r="43" spans="1:2" x14ac:dyDescent="0.3">
      <c r="A43" t="s">
        <v>94</v>
      </c>
      <c r="B43">
        <v>4</v>
      </c>
    </row>
    <row r="44" spans="1:2" x14ac:dyDescent="0.3">
      <c r="A44" t="s">
        <v>95</v>
      </c>
      <c r="B44">
        <v>5</v>
      </c>
    </row>
    <row r="45" spans="1:2" x14ac:dyDescent="0.3">
      <c r="A45" t="s">
        <v>95</v>
      </c>
      <c r="B45">
        <v>5</v>
      </c>
    </row>
    <row r="46" spans="1:2" x14ac:dyDescent="0.3">
      <c r="A46" t="s">
        <v>95</v>
      </c>
      <c r="B46">
        <v>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B36B-BB56-6748-8634-193EA745B178}">
  <dimension ref="A1:G46"/>
  <sheetViews>
    <sheetView tabSelected="1" workbookViewId="0">
      <selection activeCell="Q30" sqref="Q30"/>
    </sheetView>
  </sheetViews>
  <sheetFormatPr baseColWidth="10" defaultColWidth="8.77734375" defaultRowHeight="14.4" x14ac:dyDescent="0.3"/>
  <cols>
    <col min="1" max="1" width="30.6640625" customWidth="1"/>
    <col min="2" max="4" width="15.6640625" customWidth="1"/>
    <col min="5" max="7" width="20.6640625" customWidth="1"/>
  </cols>
  <sheetData>
    <row r="1" spans="1:7" ht="18" x14ac:dyDescent="0.35">
      <c r="A1" s="1" t="s">
        <v>149</v>
      </c>
    </row>
    <row r="3" spans="1:7" x14ac:dyDescent="0.3">
      <c r="D3" s="3" t="s">
        <v>148</v>
      </c>
      <c r="E3" s="4">
        <f>COUNTA(A5:A46)</f>
        <v>42</v>
      </c>
    </row>
    <row r="4" spans="1:7" x14ac:dyDescent="0.3">
      <c r="A4" s="2" t="s">
        <v>2</v>
      </c>
      <c r="B4" s="2" t="s">
        <v>7</v>
      </c>
    </row>
    <row r="5" spans="1:7" x14ac:dyDescent="0.3">
      <c r="A5" t="s">
        <v>56</v>
      </c>
      <c r="B5" t="s">
        <v>110</v>
      </c>
      <c r="D5" s="2" t="s">
        <v>147</v>
      </c>
      <c r="E5" s="2" t="s">
        <v>146</v>
      </c>
      <c r="F5" s="2" t="s">
        <v>145</v>
      </c>
      <c r="G5" s="2" t="s">
        <v>144</v>
      </c>
    </row>
    <row r="6" spans="1:7" x14ac:dyDescent="0.3">
      <c r="A6" t="s">
        <v>57</v>
      </c>
      <c r="B6" t="s">
        <v>111</v>
      </c>
      <c r="D6" s="3" t="s">
        <v>110</v>
      </c>
      <c r="E6" s="4">
        <f>COUNTIF(B5:B46,D6)</f>
        <v>11</v>
      </c>
      <c r="F6" s="8">
        <f>E6/$E$9</f>
        <v>0.26190476190476192</v>
      </c>
      <c r="G6" s="7">
        <f>F6</f>
        <v>0.26190476190476192</v>
      </c>
    </row>
    <row r="7" spans="1:7" x14ac:dyDescent="0.3">
      <c r="A7" t="s">
        <v>58</v>
      </c>
      <c r="B7" t="s">
        <v>112</v>
      </c>
      <c r="D7" s="3" t="s">
        <v>111</v>
      </c>
      <c r="E7" s="4">
        <f>COUNTIF(B5:B46,D7)</f>
        <v>17</v>
      </c>
      <c r="F7" s="8">
        <f>E7/$E$9</f>
        <v>0.40476190476190477</v>
      </c>
      <c r="G7" s="7">
        <f>F7</f>
        <v>0.40476190476190477</v>
      </c>
    </row>
    <row r="8" spans="1:7" x14ac:dyDescent="0.3">
      <c r="A8" t="s">
        <v>59</v>
      </c>
      <c r="B8" t="s">
        <v>111</v>
      </c>
      <c r="D8" s="3" t="s">
        <v>112</v>
      </c>
      <c r="E8" s="4">
        <f>COUNTIF(B5:B46,D8)</f>
        <v>14</v>
      </c>
      <c r="F8" s="8">
        <f>E8/$E$9</f>
        <v>0.33333333333333331</v>
      </c>
      <c r="G8" s="7">
        <f>F8</f>
        <v>0.33333333333333331</v>
      </c>
    </row>
    <row r="9" spans="1:7" x14ac:dyDescent="0.3">
      <c r="A9" t="s">
        <v>60</v>
      </c>
      <c r="B9" t="s">
        <v>112</v>
      </c>
      <c r="D9" s="2" t="s">
        <v>143</v>
      </c>
      <c r="E9" s="4">
        <f>SUM(E6:E8)</f>
        <v>42</v>
      </c>
      <c r="F9" s="8">
        <f>SUM(F6,F7,F8)</f>
        <v>1</v>
      </c>
      <c r="G9" s="7">
        <f>F9</f>
        <v>1</v>
      </c>
    </row>
    <row r="10" spans="1:7" x14ac:dyDescent="0.3">
      <c r="A10" t="s">
        <v>61</v>
      </c>
      <c r="B10" t="s">
        <v>111</v>
      </c>
    </row>
    <row r="11" spans="1:7" x14ac:dyDescent="0.3">
      <c r="A11" t="s">
        <v>62</v>
      </c>
      <c r="B11" t="s">
        <v>110</v>
      </c>
      <c r="D11" s="5" t="s">
        <v>142</v>
      </c>
    </row>
    <row r="12" spans="1:7" x14ac:dyDescent="0.3">
      <c r="A12" t="s">
        <v>63</v>
      </c>
      <c r="B12" t="s">
        <v>112</v>
      </c>
      <c r="D12" s="5" t="s">
        <v>141</v>
      </c>
    </row>
    <row r="13" spans="1:7" x14ac:dyDescent="0.3">
      <c r="A13" t="s">
        <v>64</v>
      </c>
      <c r="B13" t="s">
        <v>111</v>
      </c>
      <c r="D13" s="5" t="s">
        <v>140</v>
      </c>
    </row>
    <row r="14" spans="1:7" x14ac:dyDescent="0.3">
      <c r="A14" t="s">
        <v>65</v>
      </c>
      <c r="B14" t="s">
        <v>112</v>
      </c>
    </row>
    <row r="15" spans="1:7" x14ac:dyDescent="0.3">
      <c r="A15" t="s">
        <v>66</v>
      </c>
      <c r="B15" t="s">
        <v>110</v>
      </c>
      <c r="D15" s="5" t="s">
        <v>139</v>
      </c>
    </row>
    <row r="16" spans="1:7" x14ac:dyDescent="0.3">
      <c r="A16" t="s">
        <v>67</v>
      </c>
      <c r="B16" t="s">
        <v>111</v>
      </c>
    </row>
    <row r="17" spans="1:4" x14ac:dyDescent="0.3">
      <c r="A17" t="s">
        <v>68</v>
      </c>
      <c r="B17" t="s">
        <v>112</v>
      </c>
      <c r="D17" s="5" t="s">
        <v>138</v>
      </c>
    </row>
    <row r="18" spans="1:4" x14ac:dyDescent="0.3">
      <c r="A18" t="s">
        <v>69</v>
      </c>
      <c r="B18" t="s">
        <v>111</v>
      </c>
    </row>
    <row r="19" spans="1:4" x14ac:dyDescent="0.3">
      <c r="A19" t="s">
        <v>70</v>
      </c>
      <c r="B19" t="s">
        <v>110</v>
      </c>
    </row>
    <row r="20" spans="1:4" x14ac:dyDescent="0.3">
      <c r="A20" t="s">
        <v>71</v>
      </c>
      <c r="B20" t="s">
        <v>110</v>
      </c>
    </row>
    <row r="21" spans="1:4" x14ac:dyDescent="0.3">
      <c r="A21" t="s">
        <v>72</v>
      </c>
      <c r="B21" t="s">
        <v>112</v>
      </c>
    </row>
    <row r="22" spans="1:4" x14ac:dyDescent="0.3">
      <c r="A22" t="s">
        <v>73</v>
      </c>
      <c r="B22" t="s">
        <v>111</v>
      </c>
    </row>
    <row r="23" spans="1:4" x14ac:dyDescent="0.3">
      <c r="A23" t="s">
        <v>74</v>
      </c>
      <c r="B23" t="s">
        <v>112</v>
      </c>
    </row>
    <row r="24" spans="1:4" x14ac:dyDescent="0.3">
      <c r="A24" t="s">
        <v>75</v>
      </c>
      <c r="B24" t="s">
        <v>111</v>
      </c>
    </row>
    <row r="25" spans="1:4" x14ac:dyDescent="0.3">
      <c r="A25" t="s">
        <v>76</v>
      </c>
      <c r="B25" t="s">
        <v>110</v>
      </c>
    </row>
    <row r="26" spans="1:4" x14ac:dyDescent="0.3">
      <c r="A26" t="s">
        <v>77</v>
      </c>
      <c r="B26" t="s">
        <v>112</v>
      </c>
    </row>
    <row r="27" spans="1:4" x14ac:dyDescent="0.3">
      <c r="A27" t="s">
        <v>78</v>
      </c>
      <c r="B27" t="s">
        <v>111</v>
      </c>
    </row>
    <row r="28" spans="1:4" x14ac:dyDescent="0.3">
      <c r="A28" t="s">
        <v>79</v>
      </c>
      <c r="B28" t="s">
        <v>110</v>
      </c>
    </row>
    <row r="29" spans="1:4" x14ac:dyDescent="0.3">
      <c r="A29" t="s">
        <v>80</v>
      </c>
      <c r="B29" t="s">
        <v>112</v>
      </c>
    </row>
    <row r="30" spans="1:4" x14ac:dyDescent="0.3">
      <c r="A30" t="s">
        <v>81</v>
      </c>
      <c r="B30" t="s">
        <v>111</v>
      </c>
    </row>
    <row r="31" spans="1:4" x14ac:dyDescent="0.3">
      <c r="A31" t="s">
        <v>82</v>
      </c>
      <c r="B31" t="s">
        <v>112</v>
      </c>
    </row>
    <row r="32" spans="1:4" x14ac:dyDescent="0.3">
      <c r="A32" t="s">
        <v>83</v>
      </c>
      <c r="B32" t="s">
        <v>111</v>
      </c>
    </row>
    <row r="33" spans="1:2" x14ac:dyDescent="0.3">
      <c r="A33" t="s">
        <v>84</v>
      </c>
      <c r="B33" t="s">
        <v>110</v>
      </c>
    </row>
    <row r="34" spans="1:2" x14ac:dyDescent="0.3">
      <c r="A34" t="s">
        <v>85</v>
      </c>
      <c r="B34" t="s">
        <v>112</v>
      </c>
    </row>
    <row r="35" spans="1:2" x14ac:dyDescent="0.3">
      <c r="A35" t="s">
        <v>86</v>
      </c>
      <c r="B35" t="s">
        <v>111</v>
      </c>
    </row>
    <row r="36" spans="1:2" x14ac:dyDescent="0.3">
      <c r="A36" t="s">
        <v>87</v>
      </c>
      <c r="B36" t="s">
        <v>110</v>
      </c>
    </row>
    <row r="37" spans="1:2" x14ac:dyDescent="0.3">
      <c r="A37" t="s">
        <v>88</v>
      </c>
      <c r="B37" t="s">
        <v>112</v>
      </c>
    </row>
    <row r="38" spans="1:2" x14ac:dyDescent="0.3">
      <c r="A38" t="s">
        <v>89</v>
      </c>
      <c r="B38" t="s">
        <v>111</v>
      </c>
    </row>
    <row r="39" spans="1:2" x14ac:dyDescent="0.3">
      <c r="A39" t="s">
        <v>90</v>
      </c>
      <c r="B39" t="s">
        <v>112</v>
      </c>
    </row>
    <row r="40" spans="1:2" x14ac:dyDescent="0.3">
      <c r="A40" t="s">
        <v>91</v>
      </c>
      <c r="B40" t="s">
        <v>110</v>
      </c>
    </row>
    <row r="41" spans="1:2" x14ac:dyDescent="0.3">
      <c r="A41" t="s">
        <v>92</v>
      </c>
      <c r="B41" t="s">
        <v>111</v>
      </c>
    </row>
    <row r="42" spans="1:2" x14ac:dyDescent="0.3">
      <c r="A42" t="s">
        <v>93</v>
      </c>
      <c r="B42" t="s">
        <v>112</v>
      </c>
    </row>
    <row r="43" spans="1:2" x14ac:dyDescent="0.3">
      <c r="A43" t="s">
        <v>94</v>
      </c>
      <c r="B43" t="s">
        <v>110</v>
      </c>
    </row>
    <row r="44" spans="1:2" x14ac:dyDescent="0.3">
      <c r="A44" t="s">
        <v>95</v>
      </c>
      <c r="B44" t="s">
        <v>111</v>
      </c>
    </row>
    <row r="45" spans="1:2" x14ac:dyDescent="0.3">
      <c r="A45" t="s">
        <v>95</v>
      </c>
      <c r="B45" t="s">
        <v>111</v>
      </c>
    </row>
    <row r="46" spans="1:2" x14ac:dyDescent="0.3">
      <c r="A46" t="s">
        <v>95</v>
      </c>
      <c r="B46" t="s">
        <v>111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Datos_Base</vt:lpstr>
      <vt:lpstr>1_Precios</vt:lpstr>
      <vt:lpstr>2_Beneficios</vt:lpstr>
      <vt:lpstr>3_Satisfaccion</vt:lpstr>
      <vt:lpstr>4_Probabilidad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XTALENTO 109</cp:lastModifiedBy>
  <dcterms:created xsi:type="dcterms:W3CDTF">2026-03-08T23:16:31Z</dcterms:created>
  <dcterms:modified xsi:type="dcterms:W3CDTF">2026-03-09T11:52:13Z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2026-03-09T09:24:18Z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905c4f3a-e114-4642-ba2b-991b8103c5b4</vt:lpwstr>
  </property>
  <property fmtid="{D5CDD505-2E9C-101B-9397-08002B2CF9AE}" pid="7" name="MSIP_Label_defa4170-0d19-0005-0004-bc88714345d2_ActionId">
    <vt:lpwstr>cb42aed2-7d25-41b6-b459-d4771221597c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